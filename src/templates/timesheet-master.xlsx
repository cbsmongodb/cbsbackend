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ტაბელი" sheetId="1" state="visible" r:id="rId1"/>
  </sheets>
  <definedNames>
    <definedName name="_xlnm.Print_Area" localSheetId="0">'ტაბელი'!$A$1:$AO$69</definedName>
  </definedNames>
  <calcPr calcId="191029" fullCalcOnLoad="1"/>
</workbook>
</file>

<file path=xl/styles.xml><?xml version="1.0" encoding="utf-8"?>
<styleSheet xmlns="http://schemas.openxmlformats.org/spreadsheetml/2006/main">
  <numFmts count="4">
    <numFmt numFmtId="164" formatCode="0."/>
    <numFmt numFmtId="165" formatCode="d"/>
    <numFmt numFmtId="166" formatCode="ddd"/>
    <numFmt numFmtId="167" formatCode="[$-437]dddd\,\ d\ mmmm\,\ yyyy\ &quot;წელი&quot;;@"/>
  </numFmts>
  <fonts count="41">
    <font>
      <name val="Trebuchet MS"/>
      <family val="2"/>
      <sz val="10"/>
    </font>
    <font>
      <name val="Calibri"/>
      <family val="2"/>
      <color theme="1"/>
      <sz val="11"/>
      <scheme val="minor"/>
    </font>
    <font>
      <name val="Calibri"/>
      <family val="2"/>
      <color theme="0"/>
      <sz val="11"/>
      <scheme val="minor"/>
    </font>
    <font>
      <name val="Trebuchet MS"/>
      <family val="2"/>
      <sz val="8"/>
    </font>
    <font>
      <name val="Trebuchet MS"/>
      <family val="2"/>
      <b val="1"/>
      <sz val="18"/>
    </font>
    <font>
      <name val="Trebuchet MS"/>
      <family val="2"/>
      <b val="1"/>
      <color indexed="63"/>
      <sz val="8"/>
    </font>
    <font>
      <name val="Trebuchet MS"/>
      <family val="2"/>
      <color indexed="9"/>
      <sz val="1"/>
    </font>
    <font>
      <name val="Sylfaen"/>
      <family val="1"/>
      <b val="1"/>
      <color theme="1"/>
      <sz val="10"/>
    </font>
    <font>
      <name val="Times New Roman"/>
      <family val="1"/>
      <b val="1"/>
      <color theme="1"/>
      <sz val="9"/>
    </font>
    <font>
      <name val="Times New Roman"/>
      <family val="1"/>
      <color theme="1"/>
      <sz val="11"/>
    </font>
    <font>
      <name val="Trebuchet MS"/>
      <family val="2"/>
      <sz val="11"/>
    </font>
    <font>
      <name val="Calibri"/>
      <family val="2"/>
      <color theme="1"/>
      <sz val="11"/>
      <u val="single"/>
      <scheme val="minor"/>
    </font>
    <font>
      <name val="Calibri Light"/>
      <family val="2"/>
      <b val="1"/>
      <sz val="11"/>
      <scheme val="major"/>
    </font>
    <font>
      <name val="Calibri"/>
      <family val="2"/>
      <color theme="1"/>
      <sz val="9"/>
      <scheme val="minor"/>
    </font>
    <font>
      <name val="Sylfaen"/>
      <family val="1"/>
      <b val="1"/>
      <color theme="4"/>
      <sz val="10"/>
    </font>
    <font>
      <name val="Sylfaen"/>
      <family val="1"/>
      <b val="1"/>
      <color theme="9" tint="-0.249977111117893"/>
      <sz val="10"/>
    </font>
    <font>
      <name val="Sylfaen"/>
      <family val="1"/>
      <b val="1"/>
      <color theme="5" tint="-0.249977111117893"/>
      <sz val="10"/>
    </font>
    <font>
      <name val="Sylfaen"/>
      <family val="1"/>
      <b val="1"/>
      <color theme="7" tint="-0.249977111117893"/>
      <sz val="10"/>
    </font>
    <font>
      <name val="Sylfaen"/>
      <family val="1"/>
      <b val="1"/>
      <color rgb="FF7030A0"/>
      <sz val="10"/>
    </font>
    <font>
      <name val="Sylfaen"/>
      <family val="1"/>
      <b val="1"/>
      <color theme="9"/>
      <sz val="10"/>
    </font>
    <font>
      <name val="Times New Roman"/>
      <family val="1"/>
      <b val="1"/>
      <color theme="1"/>
      <sz val="10"/>
    </font>
    <font>
      <name val="Times New Roman"/>
      <family val="1"/>
      <b val="1"/>
      <color theme="1"/>
      <sz val="12"/>
    </font>
    <font>
      <name val="Times New Roman"/>
      <family val="1"/>
      <b val="1"/>
      <color theme="0"/>
      <sz val="12"/>
    </font>
    <font>
      <name val="Times New Roman"/>
      <family val="1"/>
      <color theme="1"/>
      <sz val="10"/>
    </font>
    <font>
      <name val="Trebuchet MS"/>
      <family val="2"/>
      <color rgb="FFFF0000"/>
      <sz val="10"/>
    </font>
    <font>
      <name val="Gill Sans MT"/>
      <family val="2"/>
      <sz val="9"/>
    </font>
    <font>
      <name val="Sylfaen"/>
      <family val="1"/>
      <b val="1"/>
      <color rgb="FF00B050"/>
      <sz val="10"/>
    </font>
    <font>
      <name val="Sylfaen"/>
      <family val="1"/>
      <b val="1"/>
      <color rgb="FFC50B14"/>
      <sz val="10"/>
    </font>
    <font>
      <name val="Sylfaen"/>
      <family val="1"/>
      <color theme="1"/>
      <sz val="11"/>
    </font>
    <font>
      <name val="Sylfaen"/>
      <family val="1"/>
      <color theme="1"/>
      <sz val="7"/>
    </font>
    <font>
      <name val="Calibri"/>
      <family val="2"/>
      <b val="1"/>
      <color theme="1"/>
      <sz val="12"/>
      <scheme val="minor"/>
    </font>
    <font>
      <name val="Times New Roman"/>
      <family val="1"/>
      <b val="1"/>
      <color rgb="FFFF0000"/>
      <sz val="10"/>
    </font>
    <font>
      <name val="Calibri"/>
      <family val="2"/>
      <b val="1"/>
      <color theme="0"/>
      <sz val="11"/>
      <scheme val="minor"/>
    </font>
    <font>
      <name val="Calibri"/>
      <family val="2"/>
      <color theme="1"/>
      <sz val="12"/>
      <scheme val="minor"/>
    </font>
    <font>
      <name val="Calibri"/>
      <family val="2"/>
      <b val="1"/>
      <color theme="1"/>
      <sz val="11"/>
      <scheme val="minor"/>
    </font>
    <font>
      <name val="Trebuchet MS"/>
      <family val="2"/>
      <b val="1"/>
      <sz val="10"/>
    </font>
    <font>
      <name val="Trebuchet MS"/>
      <family val="2"/>
      <b val="1"/>
      <color rgb="FFFF0000"/>
      <sz val="10"/>
    </font>
    <font>
      <name val="Trebuchet MS"/>
      <family val="2"/>
      <b val="1"/>
      <sz val="11"/>
    </font>
    <font>
      <name val="Gill Sans MT"/>
      <family val="2"/>
      <sz val="12"/>
    </font>
    <font>
      <name val="Calibri"/>
      <family val="2"/>
      <color rgb="FF000000"/>
      <sz val="12"/>
      <scheme val="minor"/>
    </font>
    <font>
      <name val="Times New Roman"/>
      <family val="1"/>
      <b val="1"/>
      <sz val="10"/>
    </font>
  </fonts>
  <fills count="17">
    <fill>
      <patternFill/>
    </fill>
    <fill>
      <patternFill patternType="gray125"/>
    </fill>
    <fill>
      <patternFill patternType="solid">
        <fgColor theme="2" tint="-0.09997863704336681"/>
        <bgColor indexed="64"/>
      </patternFill>
    </fill>
    <fill>
      <patternFill patternType="solid">
        <fgColor theme="0" tint="-0.1499984740745262"/>
        <bgColor indexed="64"/>
      </patternFill>
    </fill>
    <fill>
      <patternFill patternType="solid">
        <fgColor theme="0" tint="-0.3499862666707358"/>
        <bgColor indexed="64"/>
      </patternFill>
    </fill>
    <fill>
      <patternFill patternType="solid">
        <fgColor theme="2"/>
        <bgColor indexed="64"/>
      </patternFill>
    </fill>
    <fill>
      <patternFill patternType="solid">
        <fgColor theme="2" tint="-0.249977111117893"/>
        <bgColor indexed="64"/>
      </patternFill>
    </fill>
    <fill>
      <patternFill patternType="solid">
        <fgColor theme="2" tint="-0.499984740745262"/>
        <bgColor indexed="64"/>
      </patternFill>
    </fill>
    <fill>
      <patternFill patternType="solid">
        <fgColor theme="1"/>
        <bgColor indexed="64"/>
      </patternFill>
    </fill>
    <fill>
      <patternFill patternType="solid">
        <fgColor theme="8" tint="0.7999816888943144"/>
        <bgColor indexed="64"/>
      </patternFill>
    </fill>
    <fill>
      <patternFill patternType="solid">
        <fgColor theme="9" tint="0.5999938962981048"/>
        <bgColor indexed="64"/>
      </patternFill>
    </fill>
    <fill>
      <patternFill patternType="solid">
        <fgColor theme="7" tint="0.5999938962981048"/>
        <bgColor indexed="64"/>
      </patternFill>
    </fill>
    <fill>
      <patternFill patternType="solid">
        <fgColor theme="7" tint="0.3999755851924192"/>
        <bgColor indexed="64"/>
      </patternFill>
    </fill>
    <fill>
      <patternFill patternType="solid">
        <fgColor theme="4" tint="-0.249977111117893"/>
        <bgColor indexed="64"/>
      </patternFill>
    </fill>
    <fill>
      <patternFill patternType="solid">
        <fgColor rgb="FFA5A5A5"/>
      </patternFill>
    </fill>
    <fill>
      <patternFill patternType="solid">
        <fgColor theme="0" tint="-0.249977111117893"/>
        <bgColor indexed="64"/>
      </patternFill>
    </fill>
    <fill>
      <patternFill patternType="solid">
        <fgColor theme="0"/>
        <bgColor indexed="64"/>
      </patternFill>
    </fill>
  </fills>
  <borders count="19">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style="double">
        <color rgb="FF3F3F3F"/>
      </left>
      <right style="double">
        <color rgb="FF3F3F3F"/>
      </right>
      <top style="double">
        <color rgb="FF3F3F3F"/>
      </top>
      <bottom style="double">
        <color rgb="FF3F3F3F"/>
      </bottom>
      <diagonal/>
    </border>
    <border>
      <left/>
      <right style="double">
        <color rgb="FF3F3F3F"/>
      </right>
      <top/>
      <bottom/>
      <diagonal/>
    </border>
    <border>
      <left/>
      <right style="thin">
        <color indexed="64"/>
      </right>
      <top/>
      <bottom/>
      <diagonal/>
    </border>
    <border>
      <left style="thin">
        <color indexed="64"/>
      </left>
      <right style="double">
        <color rgb="FF3F3F3F"/>
      </right>
      <top/>
      <bottom/>
      <diagonal/>
    </border>
  </borders>
  <cellStyleXfs count="2">
    <xf numFmtId="0" fontId="0" fillId="0" borderId="0"/>
    <xf numFmtId="0" fontId="32" fillId="14" borderId="15"/>
  </cellStyleXfs>
  <cellXfs count="207">
    <xf numFmtId="0" fontId="0" fillId="0" borderId="0" pivotButton="0" quotePrefix="0" xfId="0"/>
    <xf numFmtId="0" fontId="3" fillId="0"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0" fillId="0" borderId="0" applyAlignment="1" applyProtection="1" pivotButton="0" quotePrefix="0" xfId="0">
      <alignment horizontal="left"/>
      <protection locked="0" hidden="0"/>
    </xf>
    <xf numFmtId="0" fontId="5" fillId="0" borderId="0" applyAlignment="1" applyProtection="1" pivotButton="0" quotePrefix="0" xfId="0">
      <alignment horizontal="center" vertical="center" wrapText="1"/>
      <protection locked="0" hidden="0"/>
    </xf>
    <xf numFmtId="0" fontId="0" fillId="0" borderId="0" applyAlignment="1" applyProtection="1" pivotButton="0" quotePrefix="0" xfId="0">
      <alignment horizontal="center" vertical="center"/>
      <protection locked="0" hidden="0"/>
    </xf>
    <xf numFmtId="0" fontId="0" fillId="0" borderId="0" applyAlignment="1" applyProtection="1" pivotButton="0" quotePrefix="0" xfId="0">
      <alignment vertical="center" wrapText="1"/>
      <protection locked="0" hidden="0"/>
    </xf>
    <xf numFmtId="0" fontId="6"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left" vertical="center"/>
      <protection locked="0" hidden="0"/>
    </xf>
    <xf numFmtId="0" fontId="9" fillId="0" borderId="0" applyAlignment="1" applyProtection="1" pivotButton="0" quotePrefix="0" xfId="0">
      <alignment vertical="center" wrapText="1"/>
      <protection locked="0" hidden="0"/>
    </xf>
    <xf numFmtId="0" fontId="10" fillId="0" borderId="0" applyProtection="1" pivotButton="0" quotePrefix="0" xfId="0">
      <protection locked="0" hidden="0"/>
    </xf>
    <xf numFmtId="0" fontId="1" fillId="0" borderId="0" applyProtection="1" pivotButton="0" quotePrefix="0" xfId="0">
      <protection locked="0" hidden="0"/>
    </xf>
    <xf numFmtId="0" fontId="2" fillId="8" borderId="0" applyAlignment="1" pivotButton="0" quotePrefix="0" xfId="0">
      <alignment horizontal="center"/>
    </xf>
    <xf numFmtId="0" fontId="2" fillId="8" borderId="0" pivotButton="0" quotePrefix="0" xfId="0"/>
    <xf numFmtId="0" fontId="2" fillId="8" borderId="0" applyAlignment="1" pivotButton="0" quotePrefix="0" xfId="0">
      <alignment horizontal="left"/>
    </xf>
    <xf numFmtId="0" fontId="11" fillId="0" borderId="0" pivotButton="0" quotePrefix="0" xfId="0"/>
    <xf numFmtId="0" fontId="0" fillId="9" borderId="0" pivotButton="0" quotePrefix="0" xfId="0"/>
    <xf numFmtId="0" fontId="0" fillId="0" borderId="0" applyAlignment="1" pivotButton="0" quotePrefix="0" xfId="0">
      <alignment horizontal="left"/>
    </xf>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0" borderId="0" applyAlignment="1" pivotButton="0" quotePrefix="0" xfId="0">
      <alignment horizontal="left" wrapText="1"/>
    </xf>
    <xf numFmtId="0" fontId="12" fillId="0" borderId="10" applyAlignment="1" pivotButton="0" quotePrefix="0" xfId="0">
      <alignment horizontal="center" wrapText="1"/>
    </xf>
    <xf numFmtId="0" fontId="0" fillId="0" borderId="0" applyAlignment="1" pivotButton="0" quotePrefix="0" xfId="0">
      <alignment horizontal="center"/>
    </xf>
    <xf numFmtId="0" fontId="13" fillId="0" borderId="0" pivotButton="0" quotePrefix="0" xfId="0"/>
    <xf numFmtId="0" fontId="22" fillId="7" borderId="4" applyAlignment="1" applyProtection="1" pivotButton="0" quotePrefix="0" xfId="0">
      <alignment horizontal="center" vertical="center" wrapText="1"/>
      <protection locked="0" hidden="0"/>
    </xf>
    <xf numFmtId="0" fontId="21" fillId="0" borderId="4" applyAlignment="1" applyProtection="1" pivotButton="0" quotePrefix="0" xfId="0">
      <alignment horizontal="center" vertical="center" wrapText="1"/>
      <protection locked="0" hidden="0"/>
    </xf>
    <xf numFmtId="0" fontId="20" fillId="5" borderId="4" applyAlignment="1" applyProtection="1" pivotButton="0" quotePrefix="0" xfId="0">
      <alignment horizontal="center" vertical="center"/>
      <protection locked="0" hidden="0"/>
    </xf>
    <xf numFmtId="0" fontId="23" fillId="5" borderId="4" applyAlignment="1" applyProtection="1" pivotButton="0" quotePrefix="0" xfId="0">
      <alignment horizontal="center" vertical="center"/>
      <protection locked="0" hidden="0"/>
    </xf>
    <xf numFmtId="14" fontId="0" fillId="0" borderId="0" pivotButton="0" quotePrefix="0" xfId="0"/>
    <xf numFmtId="165" fontId="0" fillId="0" borderId="12" applyAlignment="1" applyProtection="1" pivotButton="0" quotePrefix="0" xfId="0">
      <alignment horizontal="center" vertical="center"/>
      <protection locked="0" hidden="0"/>
    </xf>
    <xf numFmtId="0" fontId="8" fillId="4" borderId="4" applyAlignment="1" applyProtection="1" pivotButton="0" quotePrefix="0" xfId="0">
      <alignment horizontal="center" vertical="center" wrapText="1"/>
      <protection locked="0" hidden="0"/>
    </xf>
    <xf numFmtId="0" fontId="21" fillId="6" borderId="4" applyAlignment="1" applyProtection="1" pivotButton="0" quotePrefix="0" xfId="0">
      <alignment horizontal="center" vertical="center" wrapText="1"/>
      <protection locked="0" hidden="0"/>
    </xf>
    <xf numFmtId="0" fontId="24" fillId="0" borderId="0" applyAlignment="1" applyProtection="1" pivotButton="0" quotePrefix="0" xfId="0">
      <alignment horizontal="center" vertical="center"/>
      <protection locked="0" hidden="0"/>
    </xf>
    <xf numFmtId="165" fontId="24" fillId="0" borderId="0" applyAlignment="1" applyProtection="1" pivotButton="0" quotePrefix="0" xfId="0">
      <alignment horizontal="center" vertical="center"/>
      <protection locked="0" hidden="0"/>
    </xf>
    <xf numFmtId="0" fontId="24" fillId="0" borderId="0" applyAlignment="1" pivotButton="0" quotePrefix="0" xfId="0">
      <alignment horizontal="center" vertical="center"/>
    </xf>
    <xf numFmtId="0" fontId="0" fillId="3" borderId="4" applyAlignment="1" applyProtection="1" pivotButton="0" quotePrefix="0" xfId="0">
      <alignment vertical="center"/>
      <protection locked="0" hidden="0"/>
    </xf>
    <xf numFmtId="0" fontId="0" fillId="3" borderId="4" applyAlignment="1" applyProtection="1" pivotButton="0" quotePrefix="0" xfId="0">
      <alignment wrapText="1"/>
      <protection locked="0" hidden="0"/>
    </xf>
    <xf numFmtId="0" fontId="0" fillId="3" borderId="4" applyAlignment="1" applyProtection="1" pivotButton="0" quotePrefix="0" xfId="0">
      <alignment horizontal="right"/>
      <protection locked="0" hidden="0"/>
    </xf>
    <xf numFmtId="0" fontId="25" fillId="0" borderId="4" pivotButton="0" quotePrefix="0" xfId="0"/>
    <xf numFmtId="165" fontId="0" fillId="0" borderId="4" applyAlignment="1" applyProtection="1" pivotButton="0" quotePrefix="0" xfId="0">
      <alignment horizontal="center" vertical="center"/>
      <protection locked="0" hidden="0"/>
    </xf>
    <xf numFmtId="0" fontId="8" fillId="4" borderId="1" applyAlignment="1" applyProtection="1" pivotButton="0" quotePrefix="0" xfId="0">
      <alignment vertical="center" wrapText="1"/>
      <protection locked="0" hidden="0"/>
    </xf>
    <xf numFmtId="0" fontId="8" fillId="4" borderId="3" applyAlignment="1" applyProtection="1" pivotButton="0" quotePrefix="0" xfId="0">
      <alignment vertical="center" wrapText="1"/>
      <protection locked="0" hidden="0"/>
    </xf>
    <xf numFmtId="0" fontId="8" fillId="4" borderId="2" applyAlignment="1" applyProtection="1" pivotButton="0" quotePrefix="0" xfId="0">
      <alignment vertical="center" wrapText="1"/>
      <protection locked="0" hidden="0"/>
    </xf>
    <xf numFmtId="0" fontId="8" fillId="4" borderId="4" applyAlignment="1" applyProtection="1" pivotButton="0" quotePrefix="0" xfId="0">
      <alignment vertical="center" wrapText="1"/>
      <protection locked="0" hidden="0"/>
    </xf>
    <xf numFmtId="0" fontId="28" fillId="0" borderId="0" pivotButton="0" quotePrefix="0" xfId="0"/>
    <xf numFmtId="0" fontId="7" fillId="0" borderId="13" applyAlignment="1" pivotButton="0" quotePrefix="0" xfId="0">
      <alignment horizontal="center" vertical="center" wrapText="1"/>
    </xf>
    <xf numFmtId="0" fontId="7"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29" fillId="0" borderId="5" applyAlignment="1" pivotButton="0" quotePrefix="0" xfId="0">
      <alignment vertical="center" wrapText="1"/>
    </xf>
    <xf numFmtId="0" fontId="29" fillId="0" borderId="14" applyAlignment="1" pivotButton="0" quotePrefix="0" xfId="0">
      <alignment vertical="center" wrapText="1"/>
    </xf>
    <xf numFmtId="0" fontId="29" fillId="0" borderId="6" applyAlignment="1" pivotButton="0" quotePrefix="0" xfId="0">
      <alignment vertical="center" wrapText="1"/>
    </xf>
    <xf numFmtId="0" fontId="9" fillId="0" borderId="0"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wrapText="1"/>
      <protection locked="0" hidden="0"/>
    </xf>
    <xf numFmtId="0" fontId="1" fillId="0" borderId="0" applyAlignment="1" applyProtection="1" pivotButton="0" quotePrefix="0" xfId="0">
      <alignment horizontal="left" wrapText="1"/>
      <protection locked="0" hidden="0"/>
    </xf>
    <xf numFmtId="0" fontId="9" fillId="0" borderId="0" applyAlignment="1" applyProtection="1" pivotButton="0" quotePrefix="0" xfId="0">
      <alignment horizontal="center" vertical="center" wrapText="1"/>
      <protection locked="0" hidden="0"/>
    </xf>
    <xf numFmtId="0" fontId="31" fillId="5" borderId="4" applyAlignment="1" applyProtection="1" pivotButton="0" quotePrefix="0" xfId="0">
      <alignment horizontal="center" vertical="center"/>
      <protection locked="0" hidden="0"/>
    </xf>
    <xf numFmtId="165" fontId="24" fillId="15" borderId="12" applyAlignment="1" applyProtection="1" pivotButton="0" quotePrefix="0" xfId="0">
      <alignment horizontal="center" vertical="center"/>
      <protection locked="0" hidden="0"/>
    </xf>
    <xf numFmtId="0" fontId="30" fillId="0" borderId="4" pivotButton="0" quotePrefix="0" xfId="0"/>
    <xf numFmtId="0" fontId="33" fillId="0" borderId="4" pivotButton="0" quotePrefix="0" xfId="0"/>
    <xf numFmtId="49" fontId="33" fillId="0" borderId="4" applyAlignment="1" pivotButton="0" quotePrefix="0" xfId="0">
      <alignment horizontal="left"/>
    </xf>
    <xf numFmtId="0" fontId="1" fillId="0" borderId="0" applyAlignment="1" applyProtection="1" pivotButton="0" quotePrefix="0" xfId="0">
      <alignment horizontal="left" wrapText="1"/>
      <protection locked="0" hidden="0"/>
    </xf>
    <xf numFmtId="0" fontId="9" fillId="0" borderId="0"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wrapText="1"/>
      <protection locked="0" hidden="0"/>
    </xf>
    <xf numFmtId="0" fontId="1" fillId="0" borderId="0" applyAlignment="1" applyProtection="1" pivotButton="0" quotePrefix="0" xfId="0">
      <alignment horizontal="left" wrapText="1"/>
      <protection locked="0" hidden="0"/>
    </xf>
    <xf numFmtId="0" fontId="9" fillId="0" borderId="0" applyAlignment="1" applyProtection="1" pivotButton="0" quotePrefix="0" xfId="0">
      <alignment horizontal="center" vertical="center" wrapText="1"/>
      <protection locked="0" hidden="0"/>
    </xf>
    <xf numFmtId="165" fontId="0" fillId="15" borderId="12" applyAlignment="1" applyProtection="1" pivotButton="0" quotePrefix="0" xfId="0">
      <alignment horizontal="center" vertical="center"/>
      <protection locked="0" hidden="0"/>
    </xf>
    <xf numFmtId="0" fontId="25" fillId="0" borderId="1" pivotButton="0" quotePrefix="0" xfId="0"/>
    <xf numFmtId="0" fontId="35" fillId="0" borderId="0" applyAlignment="1" applyProtection="1" pivotButton="0" quotePrefix="0" xfId="0">
      <alignment horizontal="center" vertical="center"/>
      <protection locked="0" hidden="0"/>
    </xf>
    <xf numFmtId="0" fontId="36" fillId="0" borderId="0" applyAlignment="1" pivotButton="0" quotePrefix="0" xfId="0">
      <alignment horizontal="center" vertical="center"/>
    </xf>
    <xf numFmtId="165" fontId="35" fillId="0" borderId="12" applyAlignment="1" applyProtection="1" pivotButton="0" quotePrefix="0" xfId="0">
      <alignment horizontal="center" vertical="center"/>
      <protection locked="0" hidden="0"/>
    </xf>
    <xf numFmtId="0" fontId="34" fillId="0" borderId="0" applyProtection="1" pivotButton="0" quotePrefix="0" xfId="0">
      <protection locked="0" hidden="0"/>
    </xf>
    <xf numFmtId="0" fontId="37" fillId="0" borderId="0" applyProtection="1" pivotButton="0" quotePrefix="0" xfId="0">
      <protection locked="0" hidden="0"/>
    </xf>
    <xf numFmtId="0" fontId="35" fillId="0" borderId="0" applyAlignment="1" applyProtection="1" pivotButton="0" quotePrefix="0" xfId="0">
      <alignment horizontal="left"/>
      <protection locked="0" hidden="0"/>
    </xf>
    <xf numFmtId="0" fontId="35" fillId="0" borderId="0" applyProtection="1" pivotButton="0" quotePrefix="0" xfId="0">
      <protection locked="0" hidden="0"/>
    </xf>
    <xf numFmtId="165" fontId="35" fillId="0" borderId="4" applyAlignment="1" applyProtection="1" pivotButton="0" quotePrefix="0" xfId="0">
      <alignment horizontal="center" vertical="center"/>
      <protection locked="0" hidden="0"/>
    </xf>
    <xf numFmtId="0" fontId="8" fillId="4" borderId="1" applyAlignment="1" applyProtection="1" pivotButton="0" quotePrefix="0" xfId="0">
      <alignment horizontal="center" vertical="center" wrapText="1"/>
      <protection locked="0" hidden="0"/>
    </xf>
    <xf numFmtId="0" fontId="1" fillId="0" borderId="0" applyAlignment="1" applyProtection="1" pivotButton="0" quotePrefix="0" xfId="0">
      <alignment horizontal="left" wrapText="1"/>
      <protection locked="0" hidden="0"/>
    </xf>
    <xf numFmtId="0" fontId="9" fillId="0" borderId="0" applyAlignment="1" applyProtection="1" pivotButton="0" quotePrefix="0" xfId="0">
      <alignment horizontal="center" vertical="center" wrapText="1"/>
      <protection locked="0" hidden="0"/>
    </xf>
    <xf numFmtId="165" fontId="0" fillId="0" borderId="12" applyAlignment="1" applyProtection="1" pivotButton="0" quotePrefix="0" xfId="0">
      <alignment horizontal="center" vertical="center"/>
      <protection locked="0" hidden="0"/>
    </xf>
    <xf numFmtId="0" fontId="8" fillId="4" borderId="1" applyAlignment="1" applyProtection="1" pivotButton="0" quotePrefix="0" xfId="0">
      <alignment horizontal="center" vertical="center" wrapText="1"/>
      <protection locked="0" hidden="0"/>
    </xf>
    <xf numFmtId="0" fontId="1" fillId="0" borderId="0" applyAlignment="1" applyProtection="1" pivotButton="0" quotePrefix="0" xfId="0">
      <alignment horizontal="left" wrapText="1"/>
      <protection locked="0" hidden="0"/>
    </xf>
    <xf numFmtId="0" fontId="9" fillId="0" borderId="0" applyAlignment="1" applyProtection="1" pivotButton="0" quotePrefix="0" xfId="0">
      <alignment horizontal="center" vertical="center" wrapText="1"/>
      <protection locked="0" hidden="0"/>
    </xf>
    <xf numFmtId="165" fontId="24" fillId="4" borderId="12" applyAlignment="1" applyProtection="1" pivotButton="0" quotePrefix="0" xfId="0">
      <alignment horizontal="center" vertical="center"/>
      <protection locked="0" hidden="0"/>
    </xf>
    <xf numFmtId="0" fontId="38" fillId="0" borderId="4" pivotButton="0" quotePrefix="0" xfId="0"/>
    <xf numFmtId="0" fontId="38" fillId="0" borderId="1" pivotButton="0" quotePrefix="0" xfId="0"/>
    <xf numFmtId="49" fontId="39" fillId="0" borderId="4" applyAlignment="1" pivotButton="0" quotePrefix="0" xfId="0">
      <alignment horizontal="left" vertical="center"/>
    </xf>
    <xf numFmtId="0" fontId="40" fillId="5" borderId="4"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wrapText="1"/>
      <protection locked="0" hidden="0"/>
    </xf>
    <xf numFmtId="0" fontId="1" fillId="0" borderId="0" applyAlignment="1" applyProtection="1" pivotButton="0" quotePrefix="0" xfId="0">
      <alignment horizontal="left" wrapText="1"/>
      <protection locked="0" hidden="0"/>
    </xf>
    <xf numFmtId="0" fontId="8" fillId="4"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1" fillId="0" borderId="0" applyAlignment="1" applyProtection="1" pivotButton="0" quotePrefix="0" xfId="0">
      <alignment horizontal="left" wrapText="1"/>
      <protection locked="0" hidden="0"/>
    </xf>
    <xf numFmtId="0" fontId="8" fillId="4"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wrapText="1"/>
      <protection locked="0" hidden="0"/>
    </xf>
    <xf numFmtId="0" fontId="1" fillId="0" borderId="0" applyAlignment="1" applyProtection="1" pivotButton="0" quotePrefix="0" xfId="0">
      <alignment horizontal="left" wrapText="1"/>
      <protection locked="0" hidden="0"/>
    </xf>
    <xf numFmtId="0" fontId="9" fillId="0" borderId="0"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wrapText="1"/>
      <protection locked="0" hidden="0"/>
    </xf>
    <xf numFmtId="0" fontId="1" fillId="0" borderId="0" applyAlignment="1" applyProtection="1" pivotButton="0" quotePrefix="0" xfId="0">
      <alignment horizontal="left" wrapText="1"/>
      <protection locked="0" hidden="0"/>
    </xf>
    <xf numFmtId="0" fontId="9" fillId="0" borderId="0"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wrapText="1"/>
      <protection locked="0" hidden="0"/>
    </xf>
    <xf numFmtId="0" fontId="1" fillId="0" borderId="0" applyAlignment="1" applyProtection="1" pivotButton="0" quotePrefix="0" xfId="0">
      <alignment horizontal="left" wrapText="1"/>
      <protection locked="0" hidden="0"/>
    </xf>
    <xf numFmtId="0" fontId="9" fillId="0" borderId="0" applyAlignment="1" applyProtection="1" pivotButton="0" quotePrefix="0" xfId="0">
      <alignment horizontal="center" vertical="center" wrapText="1"/>
      <protection locked="0" hidden="0"/>
    </xf>
    <xf numFmtId="0" fontId="8" fillId="4" borderId="2" applyAlignment="1" applyProtection="1" pivotButton="0" quotePrefix="0" xfId="0">
      <alignment horizontal="center" vertical="center" wrapText="1"/>
      <protection locked="0" hidden="0"/>
    </xf>
    <xf numFmtId="0" fontId="7" fillId="0" borderId="5" applyAlignment="1" pivotButton="0" quotePrefix="0" xfId="0">
      <alignment horizontal="center" vertical="center" wrapText="1"/>
    </xf>
    <xf numFmtId="0" fontId="7" fillId="0" borderId="14" applyAlignment="1" pivotButton="0" quotePrefix="0" xfId="0">
      <alignment horizontal="center" vertical="center" wrapText="1"/>
    </xf>
    <xf numFmtId="0" fontId="7" fillId="0" borderId="6" applyAlignment="1" pivotButton="0" quotePrefix="0" xfId="0">
      <alignment horizontal="center" vertical="center" wrapText="1"/>
    </xf>
    <xf numFmtId="0" fontId="7" fillId="0" borderId="9" applyAlignment="1" pivotButton="0" quotePrefix="0" xfId="0">
      <alignment horizontal="center" vertical="center" wrapText="1"/>
    </xf>
    <xf numFmtId="0" fontId="7" fillId="0" borderId="10" applyAlignment="1" pivotButton="0" quotePrefix="0" xfId="0">
      <alignment horizontal="center" vertical="center" wrapText="1"/>
    </xf>
    <xf numFmtId="0" fontId="7" fillId="0" borderId="11" applyAlignment="1" pivotButton="0" quotePrefix="0" xfId="0">
      <alignment horizontal="center" vertical="center" wrapText="1"/>
    </xf>
    <xf numFmtId="0" fontId="29" fillId="0" borderId="5" applyAlignment="1" pivotButton="0" quotePrefix="0" xfId="0">
      <alignment horizontal="center" vertical="center" wrapText="1"/>
    </xf>
    <xf numFmtId="0" fontId="29" fillId="0" borderId="14" applyAlignment="1" pivotButton="0" quotePrefix="0" xfId="0">
      <alignment horizontal="center" vertical="center" wrapText="1"/>
    </xf>
    <xf numFmtId="0" fontId="29" fillId="0" borderId="6" applyAlignment="1" pivotButton="0" quotePrefix="0" xfId="0">
      <alignment horizontal="center" vertical="center" wrapText="1"/>
    </xf>
    <xf numFmtId="0" fontId="29" fillId="0" borderId="9" applyAlignment="1" pivotButton="0" quotePrefix="0" xfId="0">
      <alignment horizontal="center" vertical="center" wrapText="1"/>
    </xf>
    <xf numFmtId="0" fontId="29" fillId="0" borderId="10" applyAlignment="1" pivotButton="0" quotePrefix="0" xfId="0">
      <alignment horizontal="center" vertical="center" wrapText="1"/>
    </xf>
    <xf numFmtId="0" fontId="29" fillId="0" borderId="11" applyAlignment="1" pivotButton="0" quotePrefix="0" xfId="0">
      <alignment horizontal="center" vertical="center" wrapText="1"/>
    </xf>
    <xf numFmtId="0" fontId="29" fillId="0" borderId="1" applyAlignment="1" pivotButton="0" quotePrefix="0" xfId="0">
      <alignment horizontal="center" vertical="center" wrapText="1"/>
    </xf>
    <xf numFmtId="0" fontId="29" fillId="0" borderId="3" applyAlignment="1" pivotButton="0" quotePrefix="0" xfId="0">
      <alignment horizontal="center" vertical="center" wrapText="1"/>
    </xf>
    <xf numFmtId="0" fontId="29" fillId="0" borderId="2" applyAlignment="1" pivotButton="0" quotePrefix="0" xfId="0">
      <alignment horizontal="center" vertical="center" wrapText="1"/>
    </xf>
    <xf numFmtId="0" fontId="8" fillId="4" borderId="1" applyAlignment="1" applyProtection="1" pivotButton="0" quotePrefix="0" xfId="0">
      <alignment horizontal="center" vertical="center" wrapText="1"/>
      <protection locked="0" hidden="0"/>
    </xf>
    <xf numFmtId="0" fontId="8" fillId="4" borderId="3" applyAlignment="1" applyProtection="1" pivotButton="0" quotePrefix="0" xfId="0">
      <alignment horizontal="center" vertical="center" wrapText="1"/>
      <protection locked="0" hidden="0"/>
    </xf>
    <xf numFmtId="0" fontId="8" fillId="4" borderId="2" applyAlignment="1" applyProtection="1" pivotButton="0" quotePrefix="0" xfId="0">
      <alignment horizontal="center" vertical="center" wrapText="1"/>
      <protection locked="0" hidden="0"/>
    </xf>
    <xf numFmtId="0" fontId="7" fillId="3" borderId="4" applyAlignment="1" applyProtection="1" pivotButton="0" quotePrefix="0" xfId="0">
      <alignment horizontal="center" vertical="center" wrapText="1"/>
      <protection locked="0" hidden="0"/>
    </xf>
    <xf numFmtId="0" fontId="7" fillId="3" borderId="7" applyAlignment="1" applyProtection="1" pivotButton="0" quotePrefix="0" xfId="0">
      <alignment horizontal="center" vertical="center" wrapText="1"/>
      <protection locked="0" hidden="0"/>
    </xf>
    <xf numFmtId="0" fontId="7" fillId="3" borderId="8" applyAlignment="1" applyProtection="1" pivotButton="0" quotePrefix="0" xfId="0">
      <alignment horizontal="center" vertical="center" wrapText="1"/>
      <protection locked="0" hidden="0"/>
    </xf>
    <xf numFmtId="0" fontId="7" fillId="3" borderId="12" applyAlignment="1" applyProtection="1" pivotButton="0" quotePrefix="0" xfId="0">
      <alignment horizontal="center" vertical="center" wrapText="1"/>
      <protection locked="0" hidden="0"/>
    </xf>
    <xf numFmtId="0" fontId="7" fillId="3" borderId="1" applyAlignment="1" applyProtection="1" pivotButton="0" quotePrefix="0" xfId="0">
      <alignment horizontal="center" vertical="center" wrapText="1"/>
      <protection locked="0" hidden="0"/>
    </xf>
    <xf numFmtId="166" fontId="0" fillId="0" borderId="7" applyAlignment="1" applyProtection="1" pivotButton="0" quotePrefix="0" xfId="0">
      <alignment horizontal="center" vertical="center" textRotation="90"/>
      <protection locked="0" hidden="0"/>
    </xf>
    <xf numFmtId="166" fontId="0" fillId="0" borderId="12" applyAlignment="1" applyProtection="1" pivotButton="0" quotePrefix="0" xfId="0">
      <alignment horizontal="center" vertical="center" textRotation="90"/>
      <protection locked="0" hidden="0"/>
    </xf>
    <xf numFmtId="166" fontId="0" fillId="0" borderId="6" applyAlignment="1" applyProtection="1" pivotButton="0" quotePrefix="0" xfId="0">
      <alignment horizontal="center" vertical="center" textRotation="90"/>
      <protection locked="0" hidden="0"/>
    </xf>
    <xf numFmtId="166" fontId="0" fillId="0" borderId="11" applyAlignment="1" applyProtection="1" pivotButton="0" quotePrefix="0" xfId="0">
      <alignment horizontal="center" vertical="center" textRotation="90"/>
      <protection locked="0" hidden="0"/>
    </xf>
    <xf numFmtId="166" fontId="0" fillId="4" borderId="6" applyAlignment="1" applyProtection="1" pivotButton="0" quotePrefix="0" xfId="0">
      <alignment horizontal="center" vertical="center" textRotation="90"/>
      <protection locked="0" hidden="0"/>
    </xf>
    <xf numFmtId="166" fontId="0" fillId="4" borderId="11" applyAlignment="1" applyProtection="1" pivotButton="0" quotePrefix="0" xfId="0">
      <alignment horizontal="center" vertical="center" textRotation="90"/>
      <protection locked="0" hidden="0"/>
    </xf>
    <xf numFmtId="0" fontId="1" fillId="0" borderId="0" applyAlignment="1" applyProtection="1" pivotButton="0" quotePrefix="0" xfId="0">
      <alignment horizontal="left" wrapText="1"/>
      <protection locked="0" hidden="0"/>
    </xf>
    <xf numFmtId="0" fontId="9"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horizontal="center" wrapText="1"/>
      <protection locked="0" hidden="0"/>
    </xf>
    <xf numFmtId="166" fontId="35" fillId="0" borderId="7" applyAlignment="1" applyProtection="1" pivotButton="0" quotePrefix="0" xfId="0">
      <alignment horizontal="center" vertical="center" textRotation="90"/>
      <protection locked="0" hidden="0"/>
    </xf>
    <xf numFmtId="166" fontId="35" fillId="0" borderId="12" applyAlignment="1" applyProtection="1" pivotButton="0" quotePrefix="0" xfId="0">
      <alignment horizontal="center" vertical="center" textRotation="90"/>
      <protection locked="0" hidden="0"/>
    </xf>
    <xf numFmtId="166" fontId="35" fillId="0" borderId="6" applyAlignment="1" applyProtection="1" pivotButton="0" quotePrefix="0" xfId="0">
      <alignment horizontal="center" vertical="center" textRotation="90"/>
      <protection locked="0" hidden="0"/>
    </xf>
    <xf numFmtId="166" fontId="35" fillId="0" borderId="11" applyAlignment="1" applyProtection="1" pivotButton="0" quotePrefix="0" xfId="0">
      <alignment horizontal="center" vertical="center" textRotation="90"/>
      <protection locked="0" hidden="0"/>
    </xf>
    <xf numFmtId="0" fontId="7" fillId="3" borderId="2" applyAlignment="1" applyProtection="1" pivotButton="0" quotePrefix="0" xfId="0">
      <alignment horizontal="center" vertical="center" wrapText="1"/>
      <protection locked="0" hidden="0"/>
    </xf>
    <xf numFmtId="0" fontId="0" fillId="3" borderId="4" applyAlignment="1" applyProtection="1" pivotButton="0" quotePrefix="0" xfId="0">
      <alignment horizontal="center" vertical="center" wrapText="1"/>
      <protection locked="0" hidden="0"/>
    </xf>
    <xf numFmtId="0" fontId="0" fillId="3" borderId="1" applyAlignment="1" applyProtection="1" pivotButton="0" quotePrefix="0" xfId="0">
      <alignment horizontal="center" vertical="center"/>
      <protection locked="0" hidden="0"/>
    </xf>
    <xf numFmtId="0" fontId="0" fillId="3" borderId="3" applyAlignment="1" applyProtection="1" pivotButton="0" quotePrefix="0" xfId="0">
      <alignment horizontal="center" vertical="center"/>
      <protection locked="0" hidden="0"/>
    </xf>
    <xf numFmtId="0" fontId="0" fillId="3" borderId="2" applyAlignment="1" applyProtection="1" pivotButton="0" quotePrefix="0" xfId="0">
      <alignment horizontal="center" vertical="center"/>
      <protection locked="0" hidden="0"/>
    </xf>
    <xf numFmtId="0" fontId="0" fillId="3" borderId="4" applyAlignment="1" applyProtection="1" pivotButton="0" quotePrefix="0" xfId="0">
      <alignment horizontal="center" vertical="center"/>
      <protection locked="0" hidden="0"/>
    </xf>
    <xf numFmtId="0" fontId="0" fillId="3" borderId="1" applyAlignment="1" applyProtection="1" pivotButton="0" quotePrefix="0" xfId="0">
      <alignment horizontal="center" vertical="center" wrapText="1"/>
      <protection locked="0" hidden="0"/>
    </xf>
    <xf numFmtId="0" fontId="0" fillId="3" borderId="3" applyAlignment="1" applyProtection="1" pivotButton="0" quotePrefix="0" xfId="0">
      <alignment horizontal="center" vertical="center" wrapText="1"/>
      <protection locked="0" hidden="0"/>
    </xf>
    <xf numFmtId="0" fontId="0" fillId="3" borderId="2" applyAlignment="1" applyProtection="1" pivotButton="0" quotePrefix="0" xfId="0">
      <alignment horizontal="center" vertical="center" wrapText="1"/>
      <protection locked="0" hidden="0"/>
    </xf>
    <xf numFmtId="0" fontId="4" fillId="0" borderId="0" applyAlignment="1" applyProtection="1" pivotButton="0" quotePrefix="0" xfId="0">
      <alignment horizontal="center" vertical="center"/>
      <protection locked="0" hidden="0"/>
    </xf>
    <xf numFmtId="0" fontId="0" fillId="2" borderId="1" applyAlignment="1" applyProtection="1" pivotButton="0" quotePrefix="0" xfId="0">
      <alignment horizontal="center" vertical="center"/>
      <protection locked="0" hidden="0"/>
    </xf>
    <xf numFmtId="0" fontId="0" fillId="2" borderId="2" applyAlignment="1" applyProtection="1" pivotButton="0" quotePrefix="0" xfId="0">
      <alignment horizontal="center" vertical="center"/>
      <protection locked="0" hidden="0"/>
    </xf>
    <xf numFmtId="0" fontId="0" fillId="2" borderId="3" applyAlignment="1" applyProtection="1" pivotButton="0" quotePrefix="0" xfId="0">
      <alignment horizontal="center" vertical="center"/>
      <protection locked="0" hidden="0"/>
    </xf>
    <xf numFmtId="0" fontId="0" fillId="3" borderId="4" applyAlignment="1" applyProtection="1" pivotButton="0" quotePrefix="0" xfId="0">
      <alignment horizontal="center" wrapText="1"/>
      <protection locked="0" hidden="0"/>
    </xf>
    <xf numFmtId="167" fontId="0" fillId="3" borderId="1" applyAlignment="1" applyProtection="1" pivotButton="0" quotePrefix="0" xfId="0">
      <alignment horizontal="center" vertical="center"/>
      <protection locked="0" hidden="0"/>
    </xf>
    <xf numFmtId="167" fontId="0" fillId="3" borderId="3" applyAlignment="1" applyProtection="1" pivotButton="0" quotePrefix="0" xfId="0">
      <alignment horizontal="center" vertical="center"/>
      <protection locked="0" hidden="0"/>
    </xf>
    <xf numFmtId="167" fontId="0" fillId="3" borderId="2" applyAlignment="1" applyProtection="1" pivotButton="0" quotePrefix="0" xfId="0">
      <alignment horizontal="center" vertical="center"/>
      <protection locked="0" hidden="0"/>
    </xf>
    <xf numFmtId="0" fontId="0" fillId="3" borderId="5" applyAlignment="1" applyProtection="1" pivotButton="0" quotePrefix="0" xfId="0">
      <alignment horizontal="center" vertical="center" wrapText="1"/>
      <protection locked="0" hidden="0"/>
    </xf>
    <xf numFmtId="0" fontId="0" fillId="3" borderId="6" applyAlignment="1" applyProtection="1" pivotButton="0" quotePrefix="0" xfId="0">
      <alignment horizontal="center" vertical="center" wrapText="1"/>
      <protection locked="0" hidden="0"/>
    </xf>
    <xf numFmtId="0" fontId="0" fillId="3" borderId="9" applyAlignment="1" applyProtection="1" pivotButton="0" quotePrefix="0" xfId="0">
      <alignment horizontal="center" vertical="center" wrapText="1"/>
      <protection locked="0" hidden="0"/>
    </xf>
    <xf numFmtId="0" fontId="0" fillId="3" borderId="11" applyAlignment="1" applyProtection="1" pivotButton="0" quotePrefix="0" xfId="0">
      <alignment horizontal="center" vertical="center" wrapText="1"/>
      <protection locked="0" hidden="0"/>
    </xf>
    <xf numFmtId="0" fontId="32" fillId="14" borderId="13" applyAlignment="1" applyProtection="1" pivotButton="0" quotePrefix="0" xfId="1">
      <alignment horizontal="center" vertical="center"/>
      <protection locked="0" hidden="0"/>
    </xf>
    <xf numFmtId="0" fontId="32" fillId="14" borderId="0" applyAlignment="1" applyProtection="1" pivotButton="0" quotePrefix="0" xfId="1">
      <alignment horizontal="center" vertical="center"/>
      <protection locked="0" hidden="0"/>
    </xf>
    <xf numFmtId="0" fontId="32" fillId="14" borderId="16" applyAlignment="1" applyProtection="1" pivotButton="0" quotePrefix="0" xfId="1">
      <alignment horizontal="center" vertical="center"/>
      <protection locked="0" hidden="0"/>
    </xf>
    <xf numFmtId="49" fontId="0" fillId="3" borderId="1" applyAlignment="1" applyProtection="1" pivotButton="0" quotePrefix="0" xfId="0">
      <alignment horizontal="center" vertical="center"/>
      <protection locked="0" hidden="0"/>
    </xf>
    <xf numFmtId="49" fontId="0" fillId="3" borderId="3" applyAlignment="1" applyProtection="1" pivotButton="0" quotePrefix="0" xfId="0">
      <alignment horizontal="center" vertical="center"/>
      <protection locked="0" hidden="0"/>
    </xf>
    <xf numFmtId="49" fontId="0" fillId="3" borderId="2" applyAlignment="1" applyProtection="1" pivotButton="0" quotePrefix="0" xfId="0">
      <alignment horizontal="center" vertical="center"/>
      <protection locked="0" hidden="0"/>
    </xf>
    <xf numFmtId="166" fontId="0" fillId="16" borderId="6" applyAlignment="1" applyProtection="1" pivotButton="0" quotePrefix="0" xfId="0">
      <alignment horizontal="center" vertical="center" textRotation="90"/>
      <protection locked="0" hidden="0"/>
    </xf>
    <xf numFmtId="166" fontId="0" fillId="16" borderId="11" applyAlignment="1" applyProtection="1" pivotButton="0" quotePrefix="0" xfId="0">
      <alignment horizontal="center" vertical="center" textRotation="90"/>
      <protection locked="0" hidden="0"/>
    </xf>
    <xf numFmtId="0" fontId="2" fillId="8" borderId="0" applyAlignment="1" pivotButton="0" quotePrefix="0" xfId="0">
      <alignment horizontal="center"/>
    </xf>
    <xf numFmtId="0" fontId="0" fillId="2" borderId="4" applyAlignment="1" applyProtection="1" pivotButton="0" quotePrefix="0" xfId="0">
      <alignment horizontal="center" vertical="center"/>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0" fillId="0" borderId="6" applyProtection="1" pivotButton="0" quotePrefix="0" xfId="0">
      <protection locked="0" hidden="0"/>
    </xf>
    <xf numFmtId="167" fontId="0" fillId="3" borderId="4" applyAlignment="1" applyProtection="1" pivotButton="0" quotePrefix="0" xfId="0">
      <alignment horizontal="center" vertical="center"/>
      <protection locked="0" hidden="0"/>
    </xf>
    <xf numFmtId="0" fontId="0" fillId="0" borderId="9" applyProtection="1" pivotButton="0" quotePrefix="0" xfId="0">
      <protection locked="0" hidden="0"/>
    </xf>
    <xf numFmtId="0" fontId="0" fillId="0" borderId="11" applyProtection="1" pivotButton="0" quotePrefix="0" xfId="0">
      <protection locked="0" hidden="0"/>
    </xf>
    <xf numFmtId="0" fontId="32" fillId="14" borderId="18" applyAlignment="1" applyProtection="1" pivotButton="0" quotePrefix="0" xfId="1">
      <alignment horizontal="center" vertical="center"/>
      <protection locked="0" hidden="0"/>
    </xf>
    <xf numFmtId="0" fontId="0" fillId="0" borderId="16" applyProtection="1" pivotButton="0" quotePrefix="0" xfId="0">
      <protection locked="0" hidden="0"/>
    </xf>
    <xf numFmtId="165" fontId="24" fillId="0" borderId="0" applyAlignment="1" applyProtection="1" pivotButton="0" quotePrefix="0" xfId="0">
      <alignment horizontal="center" vertical="center"/>
      <protection locked="0" hidden="0"/>
    </xf>
    <xf numFmtId="0" fontId="0" fillId="0" borderId="14" applyProtection="1" pivotButton="0" quotePrefix="0" xfId="0">
      <protection locked="0" hidden="0"/>
    </xf>
    <xf numFmtId="0" fontId="0" fillId="0" borderId="8" applyProtection="1" pivotButton="0" quotePrefix="0" xfId="0">
      <protection locked="0" hidden="0"/>
    </xf>
    <xf numFmtId="0" fontId="0" fillId="0" borderId="13" applyProtection="1" pivotButton="0" quotePrefix="0" xfId="0">
      <protection locked="0" hidden="0"/>
    </xf>
    <xf numFmtId="0" fontId="0" fillId="0" borderId="17" applyProtection="1" pivotButton="0" quotePrefix="0" xfId="0">
      <protection locked="0" hidden="0"/>
    </xf>
    <xf numFmtId="0" fontId="0" fillId="0" borderId="10" applyProtection="1" pivotButton="0" quotePrefix="0" xfId="0">
      <protection locked="0" hidden="0"/>
    </xf>
    <xf numFmtId="165" fontId="0" fillId="0" borderId="12" applyAlignment="1" applyProtection="1" pivotButton="0" quotePrefix="0" xfId="0">
      <alignment horizontal="center" vertical="center"/>
      <protection locked="0" hidden="0"/>
    </xf>
    <xf numFmtId="165" fontId="35" fillId="0" borderId="12" applyAlignment="1" applyProtection="1" pivotButton="0" quotePrefix="0" xfId="0">
      <alignment horizontal="center" vertical="center"/>
      <protection locked="0" hidden="0"/>
    </xf>
    <xf numFmtId="165" fontId="35" fillId="0" borderId="4" applyAlignment="1" applyProtection="1" pivotButton="0" quotePrefix="0" xfId="0">
      <alignment horizontal="center" vertical="center"/>
      <protection locked="0" hidden="0"/>
    </xf>
    <xf numFmtId="165" fontId="24" fillId="4" borderId="12"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protection locked="0" hidden="0"/>
    </xf>
    <xf numFmtId="166" fontId="0" fillId="0" borderId="4" applyAlignment="1" applyProtection="1" pivotButton="0" quotePrefix="0" xfId="0">
      <alignment horizontal="center" vertical="center" textRotation="90"/>
      <protection locked="0" hidden="0"/>
    </xf>
    <xf numFmtId="166" fontId="35" fillId="0" borderId="4" applyAlignment="1" applyProtection="1" pivotButton="0" quotePrefix="0" xfId="0">
      <alignment horizontal="center" vertical="center" textRotation="90"/>
      <protection locked="0" hidden="0"/>
    </xf>
    <xf numFmtId="166" fontId="35" fillId="0" borderId="2" applyAlignment="1" applyProtection="1" pivotButton="0" quotePrefix="0" xfId="0">
      <alignment horizontal="center" vertical="center" textRotation="90"/>
      <protection locked="0" hidden="0"/>
    </xf>
    <xf numFmtId="166" fontId="0" fillId="0" borderId="2" applyAlignment="1" applyProtection="1" pivotButton="0" quotePrefix="0" xfId="0">
      <alignment horizontal="center" vertical="center" textRotation="90"/>
      <protection locked="0" hidden="0"/>
    </xf>
    <xf numFmtId="166" fontId="0" fillId="16" borderId="2" applyAlignment="1" applyProtection="1" pivotButton="0" quotePrefix="0" xfId="0">
      <alignment horizontal="center" vertical="center" textRotation="90"/>
      <protection locked="0" hidden="0"/>
    </xf>
    <xf numFmtId="0" fontId="0" fillId="0" borderId="12" applyProtection="1" pivotButton="0" quotePrefix="0" xfId="0">
      <protection locked="0" hidden="0"/>
    </xf>
    <xf numFmtId="0" fontId="7" fillId="0" borderId="4" applyAlignment="1" pivotButton="0" quotePrefix="0" xfId="0">
      <alignment horizontal="center" vertical="center" wrapText="1"/>
    </xf>
    <xf numFmtId="0" fontId="0" fillId="0" borderId="14" pivotButton="0" quotePrefix="0" xfId="0"/>
    <xf numFmtId="0" fontId="0" fillId="0" borderId="6" pivotButton="0" quotePrefix="0" xfId="0"/>
    <xf numFmtId="0" fontId="29" fillId="0" borderId="4"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1" pivotButton="0" quotePrefix="0" xfId="0"/>
    <xf numFmtId="0" fontId="0" fillId="0" borderId="3" pivotButton="0" quotePrefix="0" xfId="0"/>
    <xf numFmtId="0" fontId="0" fillId="0" borderId="2" pivotButton="0" quotePrefix="0" xfId="0"/>
  </cellXfs>
  <cellStyles count="2">
    <cellStyle name="Normal" xfId="0" builtinId="0"/>
    <cellStyle name="Check Cell" xfId="1" builtinId="23"/>
  </cellStyles>
  <dxfs count="3341">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ill>
        <patternFill>
          <bgColor indexed="22"/>
        </patternFill>
      </fill>
    </dxf>
    <dxf>
      <font>
        <color rgb="FFFF0000"/>
      </font>
      <fill>
        <patternFill>
          <bgColor theme="0" tint="-0.249946592608417"/>
        </patternFill>
      </fill>
    </dxf>
    <dxf>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ill>
        <patternFill>
          <bgColor indexed="22"/>
        </patternFill>
      </fill>
    </dxf>
    <dxf>
      <font>
        <color rgb="FFFF0000"/>
      </font>
      <fill>
        <patternFill>
          <bgColor theme="0" tint="-0.249946592608417"/>
        </patternFill>
      </fill>
    </dxf>
    <dxf>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ill>
        <patternFill>
          <bgColor indexed="22"/>
        </patternFill>
      </fill>
    </dxf>
    <dxf>
      <font>
        <color rgb="FFFF0000"/>
      </font>
      <fill>
        <patternFill>
          <bgColor theme="0" tint="-0.249946592608417"/>
        </patternFill>
      </fill>
    </dxf>
    <dxf>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ill>
        <patternFill>
          <bgColor theme="1" tint="0.499984740745262"/>
        </patternFill>
      </fill>
    </dxf>
    <dxf>
      <fill>
        <patternFill>
          <bgColor indexed="22"/>
        </patternFill>
      </fill>
    </dxf>
    <dxf>
      <font>
        <color rgb="FFFF0000"/>
      </font>
      <fill>
        <patternFill>
          <bgColor theme="0" tint="-0.249946592608417"/>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ill>
        <patternFill>
          <bgColor indexed="22"/>
        </patternFill>
      </fill>
    </dxf>
    <dxf>
      <font>
        <color rgb="FFFF0000"/>
      </font>
      <fill>
        <patternFill>
          <bgColor theme="0" tint="-0.249946592608417"/>
        </patternFill>
      </fill>
    </dxf>
    <dxf>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ill>
        <patternFill>
          <bgColor indexed="22"/>
        </patternFill>
      </fill>
    </dxf>
    <dxf>
      <font>
        <color rgb="FFFF0000"/>
      </font>
      <fill>
        <patternFill>
          <bgColor theme="0" tint="-0.249946592608417"/>
        </patternFill>
      </fill>
    </dxf>
    <dxf>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ill>
        <patternFill>
          <bgColor indexed="22"/>
        </patternFill>
      </fill>
    </dxf>
    <dxf>
      <font>
        <color rgb="FFFF0000"/>
      </font>
      <fill>
        <patternFill>
          <bgColor theme="0" tint="-0.249946592608417"/>
        </patternFill>
      </fill>
    </dxf>
    <dxf>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ill>
        <patternFill>
          <bgColor indexed="22"/>
        </patternFill>
      </fill>
    </dxf>
    <dxf>
      <font>
        <color rgb="FFFF0000"/>
      </font>
      <fill>
        <patternFill>
          <bgColor theme="0" tint="-0.249946592608417"/>
        </patternFill>
      </fill>
    </dxf>
    <dxf>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ill>
        <patternFill>
          <bgColor indexed="22"/>
        </patternFill>
      </fill>
    </dxf>
    <dxf>
      <font>
        <color rgb="FFFF0000"/>
      </font>
      <fill>
        <patternFill>
          <bgColor theme="0" tint="-0.249946592608417"/>
        </patternFill>
      </fill>
    </dxf>
    <dxf>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ill>
        <patternFill>
          <bgColor indexed="22"/>
        </patternFill>
      </fill>
    </dxf>
    <dxf>
      <font>
        <color rgb="FFFF0000"/>
      </font>
      <fill>
        <patternFill>
          <bgColor theme="0" tint="-0.249946592608417"/>
        </patternFill>
      </fill>
    </dxf>
    <dxf>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ill>
        <patternFill>
          <bgColor indexed="22"/>
        </patternFill>
      </fill>
    </dxf>
    <dxf>
      <font>
        <color rgb="FFFF0000"/>
      </font>
      <fill>
        <patternFill>
          <bgColor theme="0" tint="-0.249946592608417"/>
        </patternFill>
      </fill>
    </dxf>
    <dxf>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499984740745262"/>
        </patternFill>
      </fill>
    </dxf>
    <dxf>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ill>
        <patternFill>
          <bgColor indexed="22"/>
        </patternFill>
      </fill>
    </dxf>
    <dxf>
      <font>
        <color rgb="FFFF0000"/>
      </font>
      <fill>
        <patternFill>
          <bgColor theme="0" tint="-0.249946592608417"/>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ont>
        <color theme="0"/>
      </font>
      <fill>
        <patternFill>
          <bgColor theme="0" tint="-0.3499862666707358"/>
        </patternFill>
      </fill>
    </dxf>
    <dxf>
      <font>
        <color theme="0"/>
      </font>
      <fill>
        <patternFill>
          <bgColor theme="1" tint="0.1499679555650502"/>
        </patternFill>
      </fill>
    </dxf>
    <dxf>
      <font>
        <color theme="0"/>
      </font>
      <fill>
        <patternFill>
          <bgColor theme="1" tint="0.249946592608417"/>
        </patternFill>
      </fill>
    </dxf>
    <dxf>
      <font>
        <color theme="0"/>
      </font>
      <fill>
        <patternFill>
          <bgColor theme="1" tint="0.3499862666707358"/>
        </patternFill>
      </fill>
    </dxf>
    <dxf>
      <font>
        <color theme="0"/>
      </font>
      <fill>
        <patternFill>
          <bgColor theme="1" tint="0.499984740745262"/>
        </patternFill>
      </fill>
    </dxf>
    <dxf>
      <fill>
        <patternFill>
          <bgColor indexed="22"/>
        </patternFill>
      </fill>
    </dxf>
    <dxf>
      <font>
        <color rgb="FFFF0000"/>
      </font>
      <fill>
        <patternFill>
          <bgColor theme="0" tint="-0.249946592608417"/>
        </patternFill>
      </fill>
    </dxf>
    <dxf>
      <fill>
        <patternFill>
          <bgColor theme="1" tint="0.499984740745262"/>
        </patternFill>
      </fill>
    </dxf>
    <dxf>
      <font>
        <color rgb="FF7F7F7F"/>
      </font>
      <fill>
        <patternFill>
          <bgColor rgb="FFD9D9D9"/>
        </patternFill>
      </fill>
    </dxf>
    <dxf>
      <font>
        <color rgb="FFFF0000"/>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AO69"/>
  <sheetViews>
    <sheetView topLeftCell="A1" zoomScale="80" zoomScaleNormal="80" zoomScaleSheetLayoutView="80" workbookViewId="0">
      <selection activeCell="B15" sqref="B15"/>
    </sheetView>
  </sheetViews>
  <sheetFormatPr baseColWidth="8" defaultRowHeight="15"/>
  <cols>
    <col hidden="1" width="3" customWidth="1" min="1" max="1"/>
    <col width="25.5703125" customWidth="1" min="2" max="2"/>
    <col width="18" customWidth="1" min="3" max="3"/>
    <col width="20.28515625" customWidth="1" min="4" max="4"/>
    <col width="4.3" customWidth="1" min="5" max="5"/>
    <col width="4.3" customWidth="1" min="6" max="6"/>
    <col width="4.3" customWidth="1" min="7" max="7"/>
    <col width="4.3" customWidth="1" min="8" max="8"/>
    <col width="4.3" customWidth="1" min="9" max="9"/>
    <col width="4.3" customWidth="1" min="10" max="10"/>
    <col width="4.3" customWidth="1" min="11" max="11"/>
    <col width="4.3" customWidth="1" min="12" max="12"/>
    <col width="4.3" customWidth="1" min="13" max="13"/>
    <col width="4.3" customWidth="1" min="14" max="14"/>
    <col width="4.3" customWidth="1" min="15" max="15"/>
    <col width="4.3" customWidth="1" min="16" max="16"/>
    <col width="4.3" customWidth="1" min="17" max="17"/>
    <col width="4.3" customWidth="1" min="18" max="18"/>
    <col width="4.3" customWidth="1" min="19" max="19"/>
    <col width="4.3" customWidth="1" min="20" max="20"/>
    <col width="4.3" customWidth="1" min="21" max="21"/>
    <col width="4.3" customWidth="1" min="22" max="22"/>
    <col width="4.3" customWidth="1" min="23" max="23"/>
    <col width="4.3" customWidth="1" min="24" max="24"/>
    <col width="4.3" customWidth="1" min="25" max="25"/>
    <col width="4.3" customWidth="1" min="26" max="26"/>
    <col width="4.3" customWidth="1" min="27" max="27"/>
    <col width="4.3" customWidth="1" min="28" max="28"/>
    <col width="4.3" customWidth="1" min="29" max="29"/>
    <col width="4.3" customWidth="1" min="30" max="30"/>
    <col width="4.3" customWidth="1" min="31" max="31"/>
    <col width="4.3" customWidth="1" min="32" max="32"/>
    <col width="4.3" customWidth="1" min="33" max="33"/>
    <col width="4.3" customWidth="1" min="34" max="34"/>
    <col width="4.3" customWidth="1" min="35" max="35"/>
    <col width="7.85546875" customWidth="1" min="36" max="36"/>
    <col width="10.5703125" customWidth="1" min="37" max="37"/>
    <col width="10.5703125" customWidth="1" min="38" max="38"/>
    <col width="10.5703125" customWidth="1" min="39" max="39"/>
    <col width="10.5703125" customWidth="1" min="40" max="40"/>
    <col width="10.42578125" customWidth="1" min="41" max="41"/>
  </cols>
  <sheetData>
    <row r="1" ht="32.25" customHeight="1">
      <c r="A1" s="1" t="n"/>
      <c r="B1" s="2" t="n"/>
      <c r="C1" s="3" t="n"/>
      <c r="D1" s="151" t="inlineStr">
        <is>
          <t>შპს ,, გლობალ ცბს"</t>
        </is>
      </c>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4" t="n"/>
    </row>
    <row r="2" ht="46.5" customHeight="1">
      <c r="A2" s="1" t="n"/>
      <c r="B2" s="2" t="n"/>
      <c r="C2" s="172" t="inlineStr">
        <is>
          <t>შპს ,,გლობალ ცბს"</t>
        </is>
      </c>
      <c r="D2" s="173" t="n"/>
      <c r="E2" s="172" t="inlineStr">
        <is>
          <t xml:space="preserve">ს/კ: </t>
        </is>
      </c>
      <c r="F2" s="174" t="n"/>
      <c r="G2" s="174" t="n"/>
      <c r="H2" s="173" t="n"/>
      <c r="I2" s="172" t="n">
        <v>402011327</v>
      </c>
      <c r="J2" s="174" t="n"/>
      <c r="K2" s="174" t="n"/>
      <c r="L2" s="174" t="n"/>
      <c r="M2" s="174" t="n"/>
      <c r="N2" s="174" t="n"/>
      <c r="O2" s="174" t="n"/>
      <c r="P2" s="174" t="n"/>
      <c r="Q2" s="173" t="n"/>
      <c r="R2" s="3" t="n"/>
      <c r="S2" s="75" t="n"/>
      <c r="T2" s="155" t="inlineStr">
        <is>
          <t xml:space="preserve">დოკუმენტის შედგენის თარიღი: </t>
        </is>
      </c>
      <c r="U2" s="175" t="n"/>
      <c r="V2" s="176" t="inlineStr">
        <is>
          <t>01.01.2026</t>
        </is>
      </c>
      <c r="W2" s="174" t="n"/>
      <c r="X2" s="174" t="n"/>
      <c r="Y2" s="174" t="n"/>
      <c r="Z2" s="174" t="n"/>
      <c r="AA2" s="174" t="n"/>
      <c r="AB2" s="174" t="n"/>
      <c r="AC2" s="174" t="n"/>
      <c r="AD2" s="173" t="n"/>
      <c r="AE2" s="4" t="n"/>
      <c r="AF2" s="4" t="n"/>
      <c r="AG2" s="4" t="n"/>
      <c r="AH2" s="4" t="n"/>
      <c r="AI2" s="4" t="n"/>
      <c r="AJ2" s="4" t="n"/>
      <c r="AK2" s="4" t="n"/>
      <c r="AL2" s="4" t="n"/>
      <c r="AM2" s="4" t="n"/>
    </row>
    <row r="3">
      <c r="A3" s="1" t="n"/>
      <c r="B3" s="2" t="n"/>
      <c r="R3" s="2" t="n"/>
      <c r="S3" s="76" t="n"/>
      <c r="T3" s="177" t="n"/>
      <c r="U3" s="178" t="n"/>
      <c r="AH3" s="3" t="n"/>
      <c r="AI3" s="3" t="n"/>
      <c r="AJ3" s="4" t="n"/>
      <c r="AK3" s="4" t="n"/>
      <c r="AL3" s="4" t="n"/>
      <c r="AM3" s="4" t="n"/>
      <c r="AN3" s="3" t="n"/>
      <c r="AO3" s="3" t="n"/>
    </row>
    <row r="4" ht="30" customHeight="1">
      <c r="A4" s="1" t="n"/>
      <c r="B4" s="2" t="n"/>
      <c r="C4" s="179" t="inlineStr">
        <is>
          <t>დეპარტამენტი</t>
        </is>
      </c>
      <c r="D4" s="2" t="n"/>
      <c r="E4" s="2" t="n"/>
      <c r="F4" s="2" t="n"/>
      <c r="G4" s="2" t="n"/>
      <c r="H4" s="2" t="n"/>
      <c r="I4" s="2" t="n"/>
      <c r="J4" s="2" t="n"/>
      <c r="K4" s="2" t="n"/>
      <c r="L4" s="2" t="n"/>
      <c r="M4" s="2" t="n"/>
      <c r="N4" s="2" t="n"/>
      <c r="O4" s="2" t="n"/>
      <c r="P4" s="2" t="n"/>
      <c r="Q4" s="180" t="n"/>
      <c r="T4" s="143" t="inlineStr">
        <is>
          <t>საანგარიშო პერიოდი:</t>
        </is>
      </c>
      <c r="U4" s="175" t="n"/>
      <c r="V4" s="147" t="inlineStr">
        <is>
          <t>დან</t>
        </is>
      </c>
      <c r="W4" s="174" t="n"/>
      <c r="X4" s="174" t="n"/>
      <c r="Y4" s="174" t="n"/>
      <c r="Z4" s="174" t="n"/>
      <c r="AA4" s="174" t="n"/>
      <c r="AB4" s="174" t="n"/>
      <c r="AC4" s="173" t="n"/>
      <c r="AD4" s="147" t="inlineStr">
        <is>
          <t>მდე</t>
        </is>
      </c>
      <c r="AE4" s="174" t="n"/>
      <c r="AF4" s="174" t="n"/>
      <c r="AG4" s="174" t="n"/>
      <c r="AH4" s="174" t="n"/>
      <c r="AI4" s="174" t="n"/>
      <c r="AJ4" s="173" t="n"/>
      <c r="AK4" s="38" t="n">
        <v>2026</v>
      </c>
      <c r="AL4" s="4" t="n"/>
      <c r="AM4" s="4" t="n"/>
    </row>
    <row r="5">
      <c r="A5" s="1" t="n"/>
      <c r="B5" s="2" t="n"/>
      <c r="T5" s="177" t="n"/>
      <c r="U5" s="178" t="n"/>
      <c r="V5" s="39" t="n">
        <v>1</v>
      </c>
      <c r="W5" s="143" t="inlineStr">
        <is>
          <t>იანვარი</t>
        </is>
      </c>
      <c r="X5" s="174" t="n"/>
      <c r="Y5" s="174" t="n"/>
      <c r="Z5" s="174" t="n"/>
      <c r="AA5" s="174" t="n"/>
      <c r="AB5" s="174" t="n"/>
      <c r="AC5" s="173" t="n"/>
      <c r="AD5" s="39" t="n">
        <v>31</v>
      </c>
      <c r="AE5" s="143" t="inlineStr">
        <is>
          <t>იანვარი</t>
        </is>
      </c>
      <c r="AF5" s="174" t="n"/>
      <c r="AG5" s="174" t="n"/>
      <c r="AH5" s="174" t="n"/>
      <c r="AI5" s="174" t="n"/>
      <c r="AJ5" s="173" t="n"/>
      <c r="AK5" s="40" t="inlineStr">
        <is>
          <t>წელი</t>
        </is>
      </c>
      <c r="AL5" s="4" t="n"/>
      <c r="AM5" s="4" t="n"/>
      <c r="AN5" s="6" t="n"/>
      <c r="AO5" s="6" t="n"/>
    </row>
    <row r="6" ht="14.45" customHeight="1">
      <c r="A6" s="1" t="n"/>
      <c r="B6" s="2" t="n"/>
      <c r="AN6" s="6" t="n"/>
      <c r="AO6" s="6" t="n"/>
    </row>
    <row r="7" customFormat="1" s="35">
      <c r="C7" s="181" t="n"/>
      <c r="E7" s="37" t="n"/>
      <c r="F7" s="37" t="n"/>
      <c r="G7" s="37" t="n"/>
      <c r="H7" s="37" t="n"/>
      <c r="I7" s="37" t="n"/>
      <c r="J7" s="37" t="n"/>
      <c r="K7" s="37" t="n"/>
      <c r="L7" s="71" t="n"/>
      <c r="M7" s="71" t="n"/>
      <c r="N7" s="37" t="n"/>
      <c r="O7" s="37" t="n"/>
      <c r="P7" s="37" t="n"/>
      <c r="Q7" s="37" t="n"/>
      <c r="R7" s="37" t="n"/>
      <c r="S7" s="71" t="n"/>
      <c r="T7" s="71" t="n"/>
      <c r="U7" s="37" t="n"/>
      <c r="V7" s="37" t="n"/>
      <c r="W7" s="37" t="n"/>
      <c r="X7" s="37" t="n"/>
      <c r="Y7" s="37" t="n"/>
      <c r="Z7" s="37" t="n"/>
      <c r="AA7" s="37" t="n"/>
      <c r="AB7" s="37" t="n"/>
      <c r="AC7" s="37" t="n"/>
      <c r="AD7" s="37" t="n"/>
      <c r="AE7" s="37" t="n"/>
      <c r="AF7" s="37" t="n"/>
      <c r="AG7" s="37" t="n"/>
      <c r="AH7" s="37" t="n"/>
      <c r="AI7" s="37" t="n"/>
      <c r="AJ7" s="37" t="n"/>
      <c r="AK7" s="37" t="n"/>
      <c r="AM7" s="4" t="n"/>
    </row>
    <row r="8" ht="13.5" customHeight="1">
      <c r="A8" s="7" t="n"/>
      <c r="B8" s="124" t="inlineStr">
        <is>
          <t>სახელი გვარი</t>
        </is>
      </c>
      <c r="C8" s="124" t="inlineStr">
        <is>
          <t>პირადი ნომერი / ტაბელის ნომერი</t>
        </is>
      </c>
      <c r="D8" s="124" t="inlineStr">
        <is>
          <t xml:space="preserve">თანამდებობა (სპეციალობა, პროფესია) </t>
        </is>
      </c>
      <c r="E8" s="124" t="inlineStr">
        <is>
          <t>სამუშაო დროის აღრიცხვის ფორმის შევსებისას გამოიყენება შემდეგი პირობითი აღნიშვნები: ა) „გ“ – გაცდენა;  ბ) „ს/ფ“ – საავადმყოფო ფურცელი;  გ) „ა/შ“ – ანაზღაურებადი შვებულება; დ) „უხ/შ“ – შვებულება ანაზღაურების გარეშე; ვ) "დ/შ" - დეკრეტული შვებულება ზ) "დ" - დასვენება, უქმე დღე</t>
        </is>
      </c>
      <c r="F8" s="182" t="n"/>
      <c r="G8" s="182" t="n"/>
      <c r="H8" s="182" t="n"/>
      <c r="I8" s="182" t="n"/>
      <c r="J8" s="182" t="n"/>
      <c r="K8" s="182" t="n"/>
      <c r="L8" s="182" t="n"/>
      <c r="M8" s="182" t="n"/>
      <c r="N8" s="182" t="n"/>
      <c r="O8" s="182" t="n"/>
      <c r="P8" s="182" t="n"/>
      <c r="Q8" s="182" t="n"/>
      <c r="R8" s="182" t="n"/>
      <c r="S8" s="182" t="n"/>
      <c r="T8" s="182" t="n"/>
      <c r="U8" s="182" t="n"/>
      <c r="V8" s="182" t="n"/>
      <c r="W8" s="182" t="n"/>
      <c r="X8" s="182" t="n"/>
      <c r="Y8" s="182" t="n"/>
      <c r="Z8" s="182" t="n"/>
      <c r="AA8" s="182" t="n"/>
      <c r="AB8" s="182" t="n"/>
      <c r="AC8" s="182" t="n"/>
      <c r="AD8" s="182" t="n"/>
      <c r="AE8" s="182" t="n"/>
      <c r="AF8" s="182" t="n"/>
      <c r="AG8" s="182" t="n"/>
      <c r="AH8" s="182" t="n"/>
      <c r="AI8" s="182" t="n"/>
      <c r="AJ8" s="182" t="n"/>
      <c r="AK8" s="175" t="n"/>
      <c r="AL8" s="124" t="inlineStr">
        <is>
          <t>თვის განმავლობაში დადგენილი სამუშაო დღეების რაოდენობა</t>
        </is>
      </c>
      <c r="AM8" s="173" t="n"/>
      <c r="AN8" s="124" t="inlineStr">
        <is>
          <t>თვის განმავლობაში დადგენილი სამუშაო საათების რაოდენობა</t>
        </is>
      </c>
      <c r="AO8" s="173" t="n"/>
    </row>
    <row r="9" ht="22.5" customHeight="1">
      <c r="A9" s="7" t="n"/>
      <c r="B9" s="183" t="n"/>
      <c r="C9" s="183" t="n"/>
      <c r="D9" s="183" t="n"/>
      <c r="E9" s="184"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185" t="n"/>
      <c r="AL9" s="124" t="n">
        <v>21</v>
      </c>
      <c r="AM9" s="173" t="n"/>
      <c r="AN9" s="124">
        <f>AL9*8</f>
        <v/>
      </c>
      <c r="AO9" s="173" t="n"/>
    </row>
    <row r="10" ht="39" customHeight="1">
      <c r="B10" s="183" t="n"/>
      <c r="C10" s="183" t="n"/>
      <c r="D10" s="183" t="n"/>
      <c r="E10" s="177" t="n"/>
      <c r="F10" s="186" t="n"/>
      <c r="G10" s="186" t="n"/>
      <c r="H10" s="186" t="n"/>
      <c r="I10" s="186" t="n"/>
      <c r="J10" s="186" t="n"/>
      <c r="K10" s="186" t="n"/>
      <c r="L10" s="186" t="n"/>
      <c r="M10" s="186" t="n"/>
      <c r="N10" s="186" t="n"/>
      <c r="O10" s="186" t="n"/>
      <c r="P10" s="186" t="n"/>
      <c r="Q10" s="186" t="n"/>
      <c r="R10" s="186" t="n"/>
      <c r="S10" s="186" t="n"/>
      <c r="T10" s="186" t="n"/>
      <c r="U10" s="186" t="n"/>
      <c r="V10" s="186" t="n"/>
      <c r="W10" s="186" t="n"/>
      <c r="X10" s="186" t="n"/>
      <c r="Y10" s="186" t="n"/>
      <c r="Z10" s="186" t="n"/>
      <c r="AA10" s="186" t="n"/>
      <c r="AB10" s="186" t="n"/>
      <c r="AC10" s="186" t="n"/>
      <c r="AD10" s="186" t="n"/>
      <c r="AE10" s="186" t="n"/>
      <c r="AF10" s="186" t="n"/>
      <c r="AG10" s="186" t="n"/>
      <c r="AH10" s="186" t="n"/>
      <c r="AI10" s="186" t="n"/>
      <c r="AJ10" s="186" t="n"/>
      <c r="AK10" s="178" t="n"/>
      <c r="AL10" s="124" t="n"/>
      <c r="AM10" s="174" t="n"/>
      <c r="AN10" s="174" t="n"/>
      <c r="AO10" s="173" t="n"/>
    </row>
    <row r="11" ht="43.5" customHeight="1">
      <c r="B11" s="183" t="n"/>
      <c r="C11" s="183" t="n"/>
      <c r="D11" s="183" t="n"/>
      <c r="E11" s="187" t="n">
        <v>1</v>
      </c>
      <c r="F11" s="187" t="n">
        <v>2</v>
      </c>
      <c r="G11" s="187" t="n">
        <v>3</v>
      </c>
      <c r="H11" s="187" t="n">
        <v>4</v>
      </c>
      <c r="I11" s="187" t="n">
        <v>5</v>
      </c>
      <c r="J11" s="187" t="n">
        <v>6</v>
      </c>
      <c r="K11" s="187" t="n">
        <v>7</v>
      </c>
      <c r="L11" s="187" t="n">
        <v>8</v>
      </c>
      <c r="M11" s="187" t="n">
        <v>9</v>
      </c>
      <c r="N11" s="187" t="n">
        <v>10</v>
      </c>
      <c r="O11" s="187" t="n">
        <v>11</v>
      </c>
      <c r="P11" s="187" t="n">
        <v>12</v>
      </c>
      <c r="Q11" s="187" t="n">
        <v>13</v>
      </c>
      <c r="R11" s="187" t="n">
        <v>14</v>
      </c>
      <c r="S11" s="187" t="n">
        <v>15</v>
      </c>
      <c r="T11" s="187" t="n">
        <v>16</v>
      </c>
      <c r="U11" s="187" t="n">
        <v>17</v>
      </c>
      <c r="V11" s="187" t="n">
        <v>18</v>
      </c>
      <c r="W11" s="187" t="n">
        <v>19</v>
      </c>
      <c r="X11" s="187" t="n">
        <v>20</v>
      </c>
      <c r="Y11" s="187" t="n">
        <v>21</v>
      </c>
      <c r="Z11" s="187" t="n">
        <v>22</v>
      </c>
      <c r="AA11" s="187" t="n">
        <v>23</v>
      </c>
      <c r="AB11" s="187" t="n">
        <v>24</v>
      </c>
      <c r="AC11" s="187" t="n">
        <v>25</v>
      </c>
      <c r="AD11" s="187" t="n">
        <v>26</v>
      </c>
      <c r="AE11" s="187" t="n">
        <v>27</v>
      </c>
      <c r="AF11" s="187" t="n">
        <v>28</v>
      </c>
      <c r="AG11" s="187" t="n">
        <v>29</v>
      </c>
      <c r="AH11" s="187" t="n">
        <v>30</v>
      </c>
      <c r="AI11" s="187" t="n">
        <v>31</v>
      </c>
      <c r="AJ11" s="124" t="inlineStr">
        <is>
          <t>ნამუშევარი დღეების ჯამი</t>
        </is>
      </c>
      <c r="AK11" s="124" t="inlineStr">
        <is>
          <t>ნამუშევარი საათების ჯამი</t>
        </is>
      </c>
      <c r="AL11" s="127" t="inlineStr">
        <is>
          <t>ზეგანაკვეთური საათების რაოდენობა</t>
        </is>
      </c>
      <c r="AM11" s="127" t="inlineStr">
        <is>
          <t>ღამის საათების ჯამური რაოდენობა</t>
        </is>
      </c>
      <c r="AN11" s="127" t="inlineStr">
        <is>
          <t>დასვენების უქმე დღეები</t>
        </is>
      </c>
      <c r="AO11" s="127" t="inlineStr">
        <is>
          <t>სხვა (საჭიროების შემთხვევაში)</t>
        </is>
      </c>
    </row>
    <row r="12" ht="26.25" customHeight="1">
      <c r="A12" s="191" t="n"/>
      <c r="B12" s="183" t="n"/>
      <c r="C12" s="183" t="n"/>
      <c r="D12" s="183" t="n"/>
      <c r="E12" s="192" t="inlineStr"/>
      <c r="F12" s="192" t="inlineStr"/>
      <c r="G12" s="192" t="inlineStr"/>
      <c r="H12" s="192" t="inlineStr"/>
      <c r="I12" s="192" t="inlineStr"/>
      <c r="J12" s="192" t="inlineStr"/>
      <c r="K12" s="192" t="inlineStr"/>
      <c r="L12" s="192" t="inlineStr"/>
      <c r="M12" s="192" t="inlineStr"/>
      <c r="N12" s="192" t="inlineStr"/>
      <c r="O12" s="192" t="inlineStr"/>
      <c r="P12" s="192" t="inlineStr"/>
      <c r="Q12" s="192" t="inlineStr"/>
      <c r="R12" s="192" t="inlineStr"/>
      <c r="S12" s="192" t="inlineStr"/>
      <c r="T12" s="192" t="inlineStr"/>
      <c r="U12" s="192" t="inlineStr"/>
      <c r="V12" s="192" t="inlineStr"/>
      <c r="W12" s="192" t="inlineStr"/>
      <c r="X12" s="192" t="inlineStr"/>
      <c r="Y12" s="192" t="inlineStr"/>
      <c r="Z12" s="192" t="inlineStr"/>
      <c r="AA12" s="192" t="inlineStr"/>
      <c r="AB12" s="192" t="inlineStr"/>
      <c r="AC12" s="192" t="inlineStr"/>
      <c r="AD12" s="192" t="inlineStr"/>
      <c r="AE12" s="192" t="inlineStr"/>
      <c r="AF12" s="192" t="inlineStr"/>
      <c r="AG12" s="192" t="inlineStr"/>
      <c r="AH12" s="192" t="inlineStr"/>
      <c r="AI12" s="192" t="inlineStr"/>
      <c r="AJ12" s="183" t="n"/>
      <c r="AK12" s="183" t="n"/>
      <c r="AL12" s="183" t="n"/>
      <c r="AM12" s="183" t="n"/>
      <c r="AN12" s="183" t="n"/>
      <c r="AO12" s="183" t="n"/>
    </row>
    <row r="13" ht="48" customHeight="1">
      <c r="A13" s="191" t="n"/>
      <c r="B13" s="197" t="n"/>
      <c r="C13" s="197" t="n"/>
      <c r="D13" s="197" t="n"/>
      <c r="E13" s="197" t="n"/>
      <c r="F13" s="197" t="n"/>
      <c r="G13" s="197" t="n"/>
      <c r="H13" s="197" t="n"/>
      <c r="I13" s="197" t="n"/>
      <c r="J13" s="197" t="n"/>
      <c r="K13" s="197" t="n"/>
      <c r="L13" s="197" t="n"/>
      <c r="M13" s="197" t="n"/>
      <c r="N13" s="197" t="n"/>
      <c r="O13" s="197" t="n"/>
      <c r="P13" s="197" t="n"/>
      <c r="Q13" s="197" t="n"/>
      <c r="R13" s="197" t="n"/>
      <c r="S13" s="197" t="n"/>
      <c r="T13" s="178" t="n"/>
      <c r="U13" s="178" t="n"/>
      <c r="V13" s="178" t="n"/>
      <c r="W13" s="178" t="n"/>
      <c r="X13" s="178" t="n"/>
      <c r="Y13" s="178" t="n"/>
      <c r="Z13" s="178" t="n"/>
      <c r="AA13" s="178" t="n"/>
      <c r="AB13" s="178" t="n"/>
      <c r="AC13" s="178" t="n"/>
      <c r="AD13" s="178" t="n"/>
      <c r="AE13" s="178" t="n"/>
      <c r="AF13" s="178" t="n"/>
      <c r="AG13" s="178" t="n"/>
      <c r="AH13" s="178" t="n"/>
      <c r="AI13" s="178" t="n"/>
      <c r="AJ13" s="197" t="n"/>
      <c r="AK13" s="197" t="n"/>
      <c r="AL13" s="197" t="n"/>
      <c r="AM13" s="197" t="n"/>
      <c r="AN13" s="197" t="n"/>
      <c r="AO13" s="197" t="n"/>
    </row>
    <row r="14" ht="26.25" customHeight="1">
      <c r="A14" s="191" t="n"/>
      <c r="B14" s="46" t="n">
        <v>1</v>
      </c>
      <c r="C14" s="45" t="n">
        <v>2</v>
      </c>
      <c r="D14" s="121" t="n">
        <v>3</v>
      </c>
      <c r="E14" s="33" t="n">
        <v>4</v>
      </c>
      <c r="F14" s="174" t="n"/>
      <c r="G14" s="174" t="n"/>
      <c r="H14" s="174" t="n"/>
      <c r="I14" s="174" t="n"/>
      <c r="J14" s="174" t="n"/>
      <c r="K14" s="174" t="n"/>
      <c r="L14" s="174" t="n"/>
      <c r="M14" s="174" t="n"/>
      <c r="N14" s="174" t="n"/>
      <c r="O14" s="174" t="n"/>
      <c r="P14" s="174" t="n"/>
      <c r="Q14" s="174" t="n"/>
      <c r="R14" s="174" t="n"/>
      <c r="S14" s="174" t="n"/>
      <c r="T14" s="174" t="n"/>
      <c r="U14" s="174" t="n"/>
      <c r="V14" s="174" t="n"/>
      <c r="W14" s="174" t="n"/>
      <c r="X14" s="174" t="n"/>
      <c r="Y14" s="174" t="n"/>
      <c r="Z14" s="174" t="n"/>
      <c r="AA14" s="174" t="n"/>
      <c r="AB14" s="174" t="n"/>
      <c r="AC14" s="174" t="n"/>
      <c r="AD14" s="174" t="n"/>
      <c r="AE14" s="174" t="n"/>
      <c r="AF14" s="174" t="n"/>
      <c r="AG14" s="174" t="n"/>
      <c r="AH14" s="174" t="n"/>
      <c r="AI14" s="173" t="n"/>
      <c r="AJ14" s="33" t="n">
        <v>5</v>
      </c>
      <c r="AK14" s="33" t="n">
        <v>6</v>
      </c>
      <c r="AL14" s="33" t="n">
        <v>7</v>
      </c>
      <c r="AM14" s="33" t="n">
        <v>8</v>
      </c>
      <c r="AN14" s="46" t="n">
        <v>9</v>
      </c>
      <c r="AO14" s="44" t="n">
        <v>10</v>
      </c>
    </row>
    <row r="15" ht="21.75" customHeight="1">
      <c r="A15" s="191" t="n"/>
      <c r="B15" s="60" t="n"/>
      <c r="C15" s="62" t="n"/>
      <c r="D15" s="86" t="n"/>
      <c r="E15" s="29" t="n"/>
      <c r="F15" s="29" t="n"/>
      <c r="G15" s="29" t="n"/>
      <c r="H15" s="29" t="n"/>
      <c r="I15" s="29" t="n"/>
      <c r="J15" s="29" t="n"/>
      <c r="K15" s="29" t="n"/>
      <c r="L15" s="29" t="n"/>
      <c r="M15" s="29" t="n"/>
      <c r="N15" s="29" t="n"/>
      <c r="O15" s="29" t="n"/>
      <c r="P15" s="29" t="n"/>
      <c r="Q15" s="29" t="n"/>
      <c r="R15" s="29" t="n"/>
      <c r="S15" s="29" t="n"/>
      <c r="T15" s="29" t="n"/>
      <c r="U15" s="29" t="n"/>
      <c r="V15" s="29" t="n"/>
      <c r="W15" s="29" t="n"/>
      <c r="X15" s="29" t="n"/>
      <c r="Y15" s="29" t="n"/>
      <c r="Z15" s="29" t="n"/>
      <c r="AA15" s="29" t="n"/>
      <c r="AB15" s="29" t="n"/>
      <c r="AC15" s="29" t="n"/>
      <c r="AD15" s="29" t="n"/>
      <c r="AE15" s="29" t="n"/>
      <c r="AF15" s="29" t="n"/>
      <c r="AG15" s="29" t="n"/>
      <c r="AH15" s="29" t="n"/>
      <c r="AI15" s="29" t="n"/>
      <c r="AJ15" s="34">
        <f>COUNT(E15:AI15)</f>
        <v/>
      </c>
      <c r="AK15" s="27">
        <f>SUM(E15:AI15)</f>
        <v/>
      </c>
      <c r="AL15" s="27">
        <f>IF(AK15-AN$9&lt;0,0,AK15-AN$9)</f>
        <v/>
      </c>
      <c r="AM15" s="27" t="n">
        <v>0</v>
      </c>
      <c r="AN15" s="28" t="n">
        <v>0</v>
      </c>
      <c r="AO15" s="28" t="n">
        <v>0</v>
      </c>
    </row>
    <row r="16" ht="21.75" customHeight="1">
      <c r="A16" s="191" t="n"/>
      <c r="B16" s="60" t="n"/>
      <c r="C16" s="62" t="n"/>
      <c r="D16" s="86" t="n"/>
      <c r="E16" s="29" t="n"/>
      <c r="F16" s="29" t="n"/>
      <c r="G16" s="29" t="n"/>
      <c r="H16" s="29" t="n"/>
      <c r="I16" s="29" t="n"/>
      <c r="J16" s="29" t="n"/>
      <c r="K16" s="29" t="n"/>
      <c r="L16" s="29" t="n"/>
      <c r="M16" s="29" t="n"/>
      <c r="N16" s="29" t="n"/>
      <c r="O16" s="29" t="n"/>
      <c r="P16" s="29" t="n"/>
      <c r="Q16" s="29" t="n"/>
      <c r="R16" s="29" t="n"/>
      <c r="S16" s="29" t="n"/>
      <c r="T16" s="29" t="n"/>
      <c r="U16" s="29" t="n"/>
      <c r="V16" s="29" t="n"/>
      <c r="W16" s="29" t="n"/>
      <c r="X16" s="29" t="n"/>
      <c r="Y16" s="29" t="n"/>
      <c r="Z16" s="29" t="n"/>
      <c r="AA16" s="29" t="n"/>
      <c r="AB16" s="29" t="n"/>
      <c r="AC16" s="29" t="n"/>
      <c r="AD16" s="29" t="n"/>
      <c r="AE16" s="29" t="n"/>
      <c r="AF16" s="29" t="n"/>
      <c r="AG16" s="29" t="n"/>
      <c r="AH16" s="29" t="n"/>
      <c r="AI16" s="29" t="n"/>
      <c r="AJ16" s="34">
        <f>COUNT(E16:AI16)</f>
        <v/>
      </c>
      <c r="AK16" s="27">
        <f>SUM(E16:AI16)</f>
        <v/>
      </c>
      <c r="AL16" s="27">
        <f>IF(AK16-AN$9&lt;0,0,AK16-AN$9)</f>
        <v/>
      </c>
      <c r="AM16" s="27" t="n">
        <v>0</v>
      </c>
      <c r="AN16" s="28" t="n">
        <v>0</v>
      </c>
      <c r="AO16" s="28" t="n">
        <v>0</v>
      </c>
    </row>
    <row r="17" ht="21.75" customHeight="1">
      <c r="A17" s="191" t="n"/>
      <c r="B17" s="60" t="n"/>
      <c r="C17" s="62" t="n"/>
      <c r="D17" s="86" t="n"/>
      <c r="E17" s="29" t="n"/>
      <c r="F17" s="29" t="n"/>
      <c r="G17" s="29" t="n"/>
      <c r="H17" s="29" t="n"/>
      <c r="I17" s="29" t="n"/>
      <c r="J17" s="29" t="n"/>
      <c r="K17" s="29" t="n"/>
      <c r="L17" s="29" t="n"/>
      <c r="M17" s="29" t="n"/>
      <c r="N17" s="29" t="n"/>
      <c r="O17" s="29" t="n"/>
      <c r="P17" s="29" t="n"/>
      <c r="Q17" s="29" t="n"/>
      <c r="R17" s="29" t="n"/>
      <c r="S17" s="29" t="n"/>
      <c r="T17" s="29" t="n"/>
      <c r="U17" s="29" t="n"/>
      <c r="V17" s="29" t="n"/>
      <c r="W17" s="29" t="n"/>
      <c r="X17" s="29" t="n"/>
      <c r="Y17" s="29" t="n"/>
      <c r="Z17" s="29" t="n"/>
      <c r="AA17" s="29" t="n"/>
      <c r="AB17" s="29" t="n"/>
      <c r="AC17" s="29" t="n"/>
      <c r="AD17" s="29" t="n"/>
      <c r="AE17" s="29" t="n"/>
      <c r="AF17" s="29" t="n"/>
      <c r="AG17" s="29" t="n"/>
      <c r="AH17" s="29" t="n"/>
      <c r="AI17" s="29" t="n"/>
      <c r="AJ17" s="34">
        <f>COUNT(E17:AI17)</f>
        <v/>
      </c>
      <c r="AK17" s="27">
        <f>SUM(E17:AI17)</f>
        <v/>
      </c>
      <c r="AL17" s="27">
        <f>IF(AK17-AN$9&lt;0,0,AK17-AN$9)</f>
        <v/>
      </c>
      <c r="AM17" s="27" t="n">
        <v>0</v>
      </c>
      <c r="AN17" s="28" t="n">
        <v>0</v>
      </c>
      <c r="AO17" s="28" t="n">
        <v>0</v>
      </c>
    </row>
    <row r="18" ht="21.75" customHeight="1">
      <c r="A18" s="191" t="n"/>
      <c r="B18" s="60" t="n"/>
      <c r="C18" s="62" t="n"/>
      <c r="D18" s="86" t="n"/>
      <c r="E18" s="29" t="n"/>
      <c r="F18" s="29" t="n"/>
      <c r="G18" s="29" t="n"/>
      <c r="H18" s="29" t="n"/>
      <c r="I18" s="29" t="n"/>
      <c r="J18" s="29" t="n"/>
      <c r="K18" s="29" t="n"/>
      <c r="L18" s="29" t="n"/>
      <c r="M18" s="29" t="n"/>
      <c r="N18" s="29" t="n"/>
      <c r="O18" s="29" t="n"/>
      <c r="P18" s="29" t="n"/>
      <c r="Q18" s="29" t="n"/>
      <c r="R18" s="29" t="n"/>
      <c r="S18" s="29" t="n"/>
      <c r="T18" s="29" t="n"/>
      <c r="U18" s="29" t="n"/>
      <c r="V18" s="29" t="n"/>
      <c r="W18" s="29" t="n"/>
      <c r="X18" s="29" t="n"/>
      <c r="Y18" s="29" t="n"/>
      <c r="Z18" s="29" t="n"/>
      <c r="AA18" s="29" t="n"/>
      <c r="AB18" s="29" t="n"/>
      <c r="AC18" s="29" t="n"/>
      <c r="AD18" s="29" t="n"/>
      <c r="AE18" s="29" t="n"/>
      <c r="AF18" s="29" t="n"/>
      <c r="AG18" s="29" t="n"/>
      <c r="AH18" s="29" t="n"/>
      <c r="AI18" s="29" t="n"/>
      <c r="AJ18" s="34">
        <f>COUNT(E18:AI18)</f>
        <v/>
      </c>
      <c r="AK18" s="27">
        <f>SUM(E18:AI18)</f>
        <v/>
      </c>
      <c r="AL18" s="27">
        <f>IF(AK18-AN$9&lt;0,0,AK18-AN$9)</f>
        <v/>
      </c>
      <c r="AM18" s="27" t="n">
        <v>0</v>
      </c>
      <c r="AN18" s="28" t="n">
        <v>0</v>
      </c>
      <c r="AO18" s="28" t="n">
        <v>0</v>
      </c>
    </row>
    <row r="19" ht="21.75" customHeight="1">
      <c r="A19" s="191" t="n"/>
      <c r="B19" s="60" t="n"/>
      <c r="C19" s="62" t="n"/>
      <c r="D19" s="86" t="n"/>
      <c r="E19" s="29" t="n"/>
      <c r="F19" s="29" t="n"/>
      <c r="G19" s="29" t="n"/>
      <c r="H19" s="29" t="n"/>
      <c r="I19" s="29" t="n"/>
      <c r="J19" s="29" t="n"/>
      <c r="K19" s="29" t="n"/>
      <c r="L19" s="29" t="n"/>
      <c r="M19" s="29" t="n"/>
      <c r="N19" s="29" t="n"/>
      <c r="O19" s="29" t="n"/>
      <c r="P19" s="29" t="n"/>
      <c r="Q19" s="29" t="n"/>
      <c r="R19" s="29" t="n"/>
      <c r="S19" s="29" t="n"/>
      <c r="T19" s="29" t="n"/>
      <c r="U19" s="29" t="n"/>
      <c r="V19" s="29" t="n"/>
      <c r="W19" s="29" t="n"/>
      <c r="X19" s="29" t="n"/>
      <c r="Y19" s="29" t="n"/>
      <c r="Z19" s="29" t="n"/>
      <c r="AA19" s="29" t="n"/>
      <c r="AB19" s="29" t="n"/>
      <c r="AC19" s="29" t="n"/>
      <c r="AD19" s="29" t="n"/>
      <c r="AE19" s="29" t="n"/>
      <c r="AF19" s="29" t="n"/>
      <c r="AG19" s="29" t="n"/>
      <c r="AH19" s="29" t="n"/>
      <c r="AI19" s="29" t="n"/>
      <c r="AJ19" s="34">
        <f>COUNT(E19:AI19)</f>
        <v/>
      </c>
      <c r="AK19" s="27">
        <f>SUM(E19:AI19)</f>
        <v/>
      </c>
      <c r="AL19" s="27">
        <f>IF(AK19-AN$9&lt;0,0,AK19-AN$9)</f>
        <v/>
      </c>
      <c r="AM19" s="27" t="n">
        <v>0</v>
      </c>
      <c r="AN19" s="28" t="n">
        <v>0</v>
      </c>
      <c r="AO19" s="28" t="n">
        <v>0</v>
      </c>
    </row>
    <row r="20" ht="21.75" customHeight="1">
      <c r="A20" s="191" t="n"/>
      <c r="B20" s="60" t="n"/>
      <c r="C20" s="62" t="n"/>
      <c r="D20" s="86" t="n"/>
      <c r="E20" s="29" t="n"/>
      <c r="F20" s="29" t="n"/>
      <c r="G20" s="29" t="n"/>
      <c r="H20" s="29" t="n"/>
      <c r="I20" s="29" t="n"/>
      <c r="J20" s="29" t="n"/>
      <c r="K20" s="29" t="n"/>
      <c r="L20" s="29" t="n"/>
      <c r="M20" s="29" t="n"/>
      <c r="N20" s="29" t="n"/>
      <c r="O20" s="29" t="n"/>
      <c r="P20" s="29" t="n"/>
      <c r="Q20" s="29" t="n"/>
      <c r="R20" s="29" t="n"/>
      <c r="S20" s="29" t="n"/>
      <c r="T20" s="29" t="n"/>
      <c r="U20" s="29" t="n"/>
      <c r="V20" s="29" t="n"/>
      <c r="W20" s="29" t="n"/>
      <c r="X20" s="29" t="n"/>
      <c r="Y20" s="29" t="n"/>
      <c r="Z20" s="29" t="n"/>
      <c r="AA20" s="29" t="n"/>
      <c r="AB20" s="29" t="n"/>
      <c r="AC20" s="29" t="n"/>
      <c r="AD20" s="29" t="n"/>
      <c r="AE20" s="29" t="n"/>
      <c r="AF20" s="29" t="n"/>
      <c r="AG20" s="29" t="n"/>
      <c r="AH20" s="29" t="n"/>
      <c r="AI20" s="29" t="n"/>
      <c r="AJ20" s="34">
        <f>COUNT(E20:AI20)</f>
        <v/>
      </c>
      <c r="AK20" s="27">
        <f>SUM(E20:AI20)</f>
        <v/>
      </c>
      <c r="AL20" s="27">
        <f>IF(AK20-AN$9&lt;0,0,AK20-AN$9)</f>
        <v/>
      </c>
      <c r="AM20" s="27" t="n">
        <v>0</v>
      </c>
      <c r="AN20" s="28" t="n">
        <v>0</v>
      </c>
      <c r="AO20" s="28" t="n">
        <v>0</v>
      </c>
    </row>
    <row r="21" ht="21.75" customHeight="1">
      <c r="A21" s="191" t="n"/>
      <c r="B21" s="60" t="n"/>
      <c r="C21" s="62" t="n"/>
      <c r="D21" s="86" t="n"/>
      <c r="E21" s="29" t="n"/>
      <c r="F21" s="29" t="n"/>
      <c r="G21" s="29" t="n"/>
      <c r="H21" s="29" t="n"/>
      <c r="I21" s="29" t="n"/>
      <c r="J21" s="29" t="n"/>
      <c r="K21" s="29" t="n"/>
      <c r="L21" s="29" t="n"/>
      <c r="M21" s="29" t="n"/>
      <c r="N21" s="29" t="n"/>
      <c r="O21" s="29" t="n"/>
      <c r="P21" s="29" t="n"/>
      <c r="Q21" s="29" t="n"/>
      <c r="R21" s="29" t="n"/>
      <c r="S21" s="29" t="n"/>
      <c r="T21" s="29" t="n"/>
      <c r="U21" s="29" t="n"/>
      <c r="V21" s="29" t="n"/>
      <c r="W21" s="29" t="n"/>
      <c r="X21" s="29" t="n"/>
      <c r="Y21" s="29" t="n"/>
      <c r="Z21" s="29" t="n"/>
      <c r="AA21" s="29" t="n"/>
      <c r="AB21" s="29" t="n"/>
      <c r="AC21" s="29" t="n"/>
      <c r="AD21" s="29" t="n"/>
      <c r="AE21" s="29" t="n"/>
      <c r="AF21" s="29" t="n"/>
      <c r="AG21" s="29" t="n"/>
      <c r="AH21" s="29" t="n"/>
      <c r="AI21" s="29" t="n"/>
      <c r="AJ21" s="34">
        <f>COUNT(E21:AI21)</f>
        <v/>
      </c>
      <c r="AK21" s="27">
        <f>SUM(E21:AI21)</f>
        <v/>
      </c>
      <c r="AL21" s="27">
        <f>IF(AK21-AN$9&lt;0,0,AK21-AN$9)</f>
        <v/>
      </c>
      <c r="AM21" s="27" t="n">
        <v>0</v>
      </c>
      <c r="AN21" s="28" t="n">
        <v>0</v>
      </c>
      <c r="AO21" s="28" t="n">
        <v>0</v>
      </c>
    </row>
    <row r="22" ht="21.75" customHeight="1">
      <c r="A22" s="191" t="n"/>
      <c r="B22" s="60" t="n"/>
      <c r="C22" s="62" t="n"/>
      <c r="D22" s="86" t="n"/>
      <c r="E22" s="29" t="n"/>
      <c r="F22" s="29" t="n"/>
      <c r="G22" s="29" t="n"/>
      <c r="H22" s="29" t="n"/>
      <c r="I22" s="29" t="n"/>
      <c r="J22" s="29" t="n"/>
      <c r="K22" s="29" t="n"/>
      <c r="L22" s="29" t="n"/>
      <c r="M22" s="29" t="n"/>
      <c r="N22" s="29" t="n"/>
      <c r="O22" s="29" t="n"/>
      <c r="P22" s="29" t="n"/>
      <c r="Q22" s="29" t="n"/>
      <c r="R22" s="29" t="n"/>
      <c r="S22" s="29" t="n"/>
      <c r="T22" s="29" t="n"/>
      <c r="U22" s="29" t="n"/>
      <c r="V22" s="29" t="n"/>
      <c r="W22" s="29" t="n"/>
      <c r="X22" s="29" t="n"/>
      <c r="Y22" s="29" t="n"/>
      <c r="Z22" s="29" t="n"/>
      <c r="AA22" s="29" t="n"/>
      <c r="AB22" s="29" t="n"/>
      <c r="AC22" s="29" t="n"/>
      <c r="AD22" s="29" t="n"/>
      <c r="AE22" s="29" t="n"/>
      <c r="AF22" s="29" t="n"/>
      <c r="AG22" s="29" t="n"/>
      <c r="AH22" s="29" t="n"/>
      <c r="AI22" s="29" t="n"/>
      <c r="AJ22" s="34">
        <f>COUNT(E22:AI22)</f>
        <v/>
      </c>
      <c r="AK22" s="27">
        <f>SUM(E22:AI22)</f>
        <v/>
      </c>
      <c r="AL22" s="27">
        <f>IF(AK22-AN$9&lt;0,0,AK22-AN$9)</f>
        <v/>
      </c>
      <c r="AM22" s="27" t="n">
        <v>0</v>
      </c>
      <c r="AN22" s="28" t="n">
        <v>0</v>
      </c>
      <c r="AO22" s="28" t="n">
        <v>0</v>
      </c>
    </row>
    <row r="23" ht="21.75" customHeight="1">
      <c r="A23" s="191" t="n"/>
      <c r="B23" s="60" t="n"/>
      <c r="C23" s="62" t="n"/>
      <c r="D23" s="86" t="n"/>
      <c r="E23" s="29" t="n"/>
      <c r="F23" s="29" t="n"/>
      <c r="G23" s="29" t="n"/>
      <c r="H23" s="29" t="n"/>
      <c r="I23" s="29" t="n"/>
      <c r="J23" s="29" t="n"/>
      <c r="K23" s="29" t="n"/>
      <c r="L23" s="29" t="n"/>
      <c r="M23" s="29" t="n"/>
      <c r="N23" s="29" t="n"/>
      <c r="O23" s="29" t="n"/>
      <c r="P23" s="29" t="n"/>
      <c r="Q23" s="29" t="n"/>
      <c r="R23" s="29" t="n"/>
      <c r="S23" s="29" t="n"/>
      <c r="T23" s="29" t="n"/>
      <c r="U23" s="29" t="n"/>
      <c r="V23" s="29" t="n"/>
      <c r="W23" s="29" t="n"/>
      <c r="X23" s="29" t="n"/>
      <c r="Y23" s="29" t="n"/>
      <c r="Z23" s="29" t="n"/>
      <c r="AA23" s="29" t="n"/>
      <c r="AB23" s="29" t="n"/>
      <c r="AC23" s="29" t="n"/>
      <c r="AD23" s="29" t="n"/>
      <c r="AE23" s="29" t="n"/>
      <c r="AF23" s="29" t="n"/>
      <c r="AG23" s="29" t="n"/>
      <c r="AH23" s="29" t="n"/>
      <c r="AI23" s="29" t="n"/>
      <c r="AJ23" s="34">
        <f>COUNT(E23:AI23)</f>
        <v/>
      </c>
      <c r="AK23" s="27">
        <f>SUM(E23:AI23)</f>
        <v/>
      </c>
      <c r="AL23" s="27">
        <f>IF(AK23-AN$9&lt;0,0,AK23-AN$9)</f>
        <v/>
      </c>
      <c r="AM23" s="27" t="n">
        <v>0</v>
      </c>
      <c r="AN23" s="28" t="n">
        <v>0</v>
      </c>
      <c r="AO23" s="28" t="n">
        <v>0</v>
      </c>
    </row>
    <row r="24" ht="21.75" customHeight="1">
      <c r="A24" s="191" t="n"/>
      <c r="B24" s="60" t="n"/>
      <c r="C24" s="62" t="n"/>
      <c r="D24" s="86" t="n"/>
      <c r="E24" s="29" t="n"/>
      <c r="F24" s="29" t="n"/>
      <c r="G24" s="29" t="n"/>
      <c r="H24" s="29" t="n"/>
      <c r="I24" s="29" t="n"/>
      <c r="J24" s="29" t="n"/>
      <c r="K24" s="29" t="n"/>
      <c r="L24" s="29" t="n"/>
      <c r="M24" s="29" t="n"/>
      <c r="N24" s="29" t="n"/>
      <c r="O24" s="29" t="n"/>
      <c r="P24" s="29" t="n"/>
      <c r="Q24" s="29" t="n"/>
      <c r="R24" s="29" t="n"/>
      <c r="S24" s="29" t="n"/>
      <c r="T24" s="29" t="n"/>
      <c r="U24" s="29" t="n"/>
      <c r="V24" s="29" t="n"/>
      <c r="W24" s="29" t="n"/>
      <c r="X24" s="29" t="n"/>
      <c r="Y24" s="29" t="n"/>
      <c r="Z24" s="29" t="n"/>
      <c r="AA24" s="29" t="n"/>
      <c r="AB24" s="29" t="n"/>
      <c r="AC24" s="29" t="n"/>
      <c r="AD24" s="29" t="n"/>
      <c r="AE24" s="29" t="n"/>
      <c r="AF24" s="29" t="n"/>
      <c r="AG24" s="29" t="n"/>
      <c r="AH24" s="29" t="n"/>
      <c r="AI24" s="29" t="n"/>
      <c r="AJ24" s="34">
        <f>COUNT(E24:AI24)</f>
        <v/>
      </c>
      <c r="AK24" s="27">
        <f>SUM(E24:AI24)</f>
        <v/>
      </c>
      <c r="AL24" s="27">
        <f>IF(AK24-AN$9&lt;0,0,AK24-AN$9)</f>
        <v/>
      </c>
      <c r="AM24" s="27" t="n">
        <v>0</v>
      </c>
      <c r="AN24" s="28" t="n">
        <v>0</v>
      </c>
      <c r="AO24" s="28" t="n">
        <v>0</v>
      </c>
    </row>
    <row r="25" ht="21.75" customHeight="1">
      <c r="A25" s="191" t="n"/>
      <c r="B25" s="60" t="n"/>
      <c r="C25" s="62" t="n"/>
      <c r="D25" s="86" t="n"/>
      <c r="E25" s="29" t="n"/>
      <c r="F25" s="29" t="n"/>
      <c r="G25" s="29" t="n"/>
      <c r="H25" s="29" t="n"/>
      <c r="I25" s="29" t="n"/>
      <c r="J25" s="29" t="n"/>
      <c r="K25" s="29" t="n"/>
      <c r="L25" s="29" t="n"/>
      <c r="M25" s="29" t="n"/>
      <c r="N25" s="29" t="n"/>
      <c r="O25" s="29" t="n"/>
      <c r="P25" s="29" t="n"/>
      <c r="Q25" s="29" t="n"/>
      <c r="R25" s="29" t="n"/>
      <c r="S25" s="29" t="n"/>
      <c r="T25" s="29" t="n"/>
      <c r="U25" s="29" t="n"/>
      <c r="V25" s="29" t="n"/>
      <c r="W25" s="29" t="n"/>
      <c r="X25" s="29" t="n"/>
      <c r="Y25" s="29" t="n"/>
      <c r="Z25" s="29" t="n"/>
      <c r="AA25" s="29" t="n"/>
      <c r="AB25" s="29" t="n"/>
      <c r="AC25" s="29" t="n"/>
      <c r="AD25" s="29" t="n"/>
      <c r="AE25" s="29" t="n"/>
      <c r="AF25" s="29" t="n"/>
      <c r="AG25" s="29" t="n"/>
      <c r="AH25" s="29" t="n"/>
      <c r="AI25" s="29" t="n"/>
      <c r="AJ25" s="34">
        <f>COUNT(E25:AI25)</f>
        <v/>
      </c>
      <c r="AK25" s="27">
        <f>SUM(E25:AI25)</f>
        <v/>
      </c>
      <c r="AL25" s="27">
        <f>IF(AK25-AN$9&lt;0,0,AK25-AN$9)</f>
        <v/>
      </c>
      <c r="AM25" s="27" t="n">
        <v>0</v>
      </c>
      <c r="AN25" s="28" t="n">
        <v>0</v>
      </c>
      <c r="AO25" s="28" t="n">
        <v>0</v>
      </c>
    </row>
    <row r="26" ht="21.75" customHeight="1">
      <c r="A26" s="191" t="n"/>
      <c r="B26" s="60" t="n"/>
      <c r="C26" s="62" t="n"/>
      <c r="D26" s="86" t="n"/>
      <c r="E26" s="29" t="n"/>
      <c r="F26" s="29" t="n"/>
      <c r="G26" s="29" t="n"/>
      <c r="H26" s="29" t="n"/>
      <c r="I26" s="29" t="n"/>
      <c r="J26" s="29" t="n"/>
      <c r="K26" s="29" t="n"/>
      <c r="L26" s="29" t="n"/>
      <c r="M26" s="29" t="n"/>
      <c r="N26" s="29" t="n"/>
      <c r="O26" s="29" t="n"/>
      <c r="P26" s="29" t="n"/>
      <c r="Q26" s="29" t="n"/>
      <c r="R26" s="29" t="n"/>
      <c r="S26" s="29" t="n"/>
      <c r="T26" s="29" t="n"/>
      <c r="U26" s="29" t="n"/>
      <c r="V26" s="29" t="n"/>
      <c r="W26" s="29" t="n"/>
      <c r="X26" s="29" t="n"/>
      <c r="Y26" s="29" t="n"/>
      <c r="Z26" s="29" t="n"/>
      <c r="AA26" s="29" t="n"/>
      <c r="AB26" s="29" t="n"/>
      <c r="AC26" s="29" t="n"/>
      <c r="AD26" s="29" t="n"/>
      <c r="AE26" s="29" t="n"/>
      <c r="AF26" s="29" t="n"/>
      <c r="AG26" s="29" t="n"/>
      <c r="AH26" s="29" t="n"/>
      <c r="AI26" s="29" t="n"/>
      <c r="AJ26" s="34">
        <f>COUNT(E26:AI26)</f>
        <v/>
      </c>
      <c r="AK26" s="27">
        <f>SUM(E26:AI26)</f>
        <v/>
      </c>
      <c r="AL26" s="27">
        <f>IF(AK26-AN$9&lt;0,0,AK26-AN$9)</f>
        <v/>
      </c>
      <c r="AM26" s="27" t="n">
        <v>0</v>
      </c>
      <c r="AN26" s="28" t="n">
        <v>0</v>
      </c>
      <c r="AO26" s="28" t="n">
        <v>0</v>
      </c>
    </row>
    <row r="27" ht="21.75" customHeight="1">
      <c r="A27" s="191" t="n"/>
      <c r="B27" s="60" t="n"/>
      <c r="C27" s="62" t="n"/>
      <c r="D27" s="86" t="n"/>
      <c r="E27" s="29" t="n"/>
      <c r="F27" s="29" t="n"/>
      <c r="G27" s="29" t="n"/>
      <c r="H27" s="29" t="n"/>
      <c r="I27" s="29" t="n"/>
      <c r="J27" s="29" t="n"/>
      <c r="K27" s="29" t="n"/>
      <c r="L27" s="29" t="n"/>
      <c r="M27" s="29" t="n"/>
      <c r="N27" s="29" t="n"/>
      <c r="O27" s="29" t="n"/>
      <c r="P27" s="29" t="n"/>
      <c r="Q27" s="29" t="n"/>
      <c r="R27" s="29" t="n"/>
      <c r="S27" s="29" t="n"/>
      <c r="T27" s="29" t="n"/>
      <c r="U27" s="29" t="n"/>
      <c r="V27" s="29" t="n"/>
      <c r="W27" s="29" t="n"/>
      <c r="X27" s="29" t="n"/>
      <c r="Y27" s="29" t="n"/>
      <c r="Z27" s="29" t="n"/>
      <c r="AA27" s="29" t="n"/>
      <c r="AB27" s="29" t="n"/>
      <c r="AC27" s="29" t="n"/>
      <c r="AD27" s="29" t="n"/>
      <c r="AE27" s="29" t="n"/>
      <c r="AF27" s="29" t="n"/>
      <c r="AG27" s="29" t="n"/>
      <c r="AH27" s="29" t="n"/>
      <c r="AI27" s="29" t="n"/>
      <c r="AJ27" s="34">
        <f>COUNT(E27:AI27)</f>
        <v/>
      </c>
      <c r="AK27" s="27">
        <f>SUM(E27:AI27)</f>
        <v/>
      </c>
      <c r="AL27" s="27">
        <f>IF(AK27-AN$9&lt;0,0,AK27-AN$9)</f>
        <v/>
      </c>
      <c r="AM27" s="27" t="n">
        <v>0</v>
      </c>
      <c r="AN27" s="28" t="n">
        <v>0</v>
      </c>
      <c r="AO27" s="28" t="n">
        <v>0</v>
      </c>
    </row>
    <row r="28" ht="21.75" customHeight="1">
      <c r="A28" s="191" t="n"/>
      <c r="B28" s="60" t="n"/>
      <c r="C28" s="62" t="n"/>
      <c r="D28" s="86" t="n"/>
      <c r="E28" s="29" t="n"/>
      <c r="F28" s="29" t="n"/>
      <c r="G28" s="29" t="n"/>
      <c r="H28" s="29" t="n"/>
      <c r="I28" s="29" t="n"/>
      <c r="J28" s="29" t="n"/>
      <c r="K28" s="29" t="n"/>
      <c r="L28" s="29" t="n"/>
      <c r="M28" s="29" t="n"/>
      <c r="N28" s="29" t="n"/>
      <c r="O28" s="29" t="n"/>
      <c r="P28" s="29" t="n"/>
      <c r="Q28" s="29" t="n"/>
      <c r="R28" s="29" t="n"/>
      <c r="S28" s="29" t="n"/>
      <c r="T28" s="29" t="n"/>
      <c r="U28" s="29" t="n"/>
      <c r="V28" s="29" t="n"/>
      <c r="W28" s="29" t="n"/>
      <c r="X28" s="29" t="n"/>
      <c r="Y28" s="29" t="n"/>
      <c r="Z28" s="29" t="n"/>
      <c r="AA28" s="29" t="n"/>
      <c r="AB28" s="29" t="n"/>
      <c r="AC28" s="29" t="n"/>
      <c r="AD28" s="29" t="n"/>
      <c r="AE28" s="29" t="n"/>
      <c r="AF28" s="29" t="n"/>
      <c r="AG28" s="29" t="n"/>
      <c r="AH28" s="29" t="n"/>
      <c r="AI28" s="29" t="n"/>
      <c r="AJ28" s="34">
        <f>COUNT(E28:AI28)</f>
        <v/>
      </c>
      <c r="AK28" s="27">
        <f>SUM(E28:AI28)</f>
        <v/>
      </c>
      <c r="AL28" s="27">
        <f>IF(AK28-AN$9&lt;0,0,AK28-AN$9)</f>
        <v/>
      </c>
      <c r="AM28" s="27" t="n">
        <v>0</v>
      </c>
      <c r="AN28" s="28" t="n">
        <v>0</v>
      </c>
      <c r="AO28" s="28" t="n">
        <v>0</v>
      </c>
    </row>
    <row r="29" ht="21.75" customHeight="1">
      <c r="A29" s="191" t="n"/>
      <c r="B29" s="60" t="n"/>
      <c r="C29" s="62" t="n"/>
      <c r="D29" s="86" t="n"/>
      <c r="E29" s="29" t="n"/>
      <c r="F29" s="29" t="n"/>
      <c r="G29" s="29" t="n"/>
      <c r="H29" s="29" t="n"/>
      <c r="I29" s="29" t="n"/>
      <c r="J29" s="29" t="n"/>
      <c r="K29" s="29" t="n"/>
      <c r="L29" s="29" t="n"/>
      <c r="M29" s="29" t="n"/>
      <c r="N29" s="29" t="n"/>
      <c r="O29" s="29" t="n"/>
      <c r="P29" s="29" t="n"/>
      <c r="Q29" s="29" t="n"/>
      <c r="R29" s="29" t="n"/>
      <c r="S29" s="29" t="n"/>
      <c r="T29" s="29" t="n"/>
      <c r="U29" s="29" t="n"/>
      <c r="V29" s="29" t="n"/>
      <c r="W29" s="29" t="n"/>
      <c r="X29" s="29" t="n"/>
      <c r="Y29" s="29" t="n"/>
      <c r="Z29" s="29" t="n"/>
      <c r="AA29" s="29" t="n"/>
      <c r="AB29" s="29" t="n"/>
      <c r="AC29" s="29" t="n"/>
      <c r="AD29" s="29" t="n"/>
      <c r="AE29" s="29" t="n"/>
      <c r="AF29" s="29" t="n"/>
      <c r="AG29" s="29" t="n"/>
      <c r="AH29" s="29" t="n"/>
      <c r="AI29" s="29" t="n"/>
      <c r="AJ29" s="34">
        <f>COUNT(E29:AI29)</f>
        <v/>
      </c>
      <c r="AK29" s="27">
        <f>SUM(E29:AI29)</f>
        <v/>
      </c>
      <c r="AL29" s="27">
        <f>IF(AK29-AN$9&lt;0,0,AK29-AN$9)</f>
        <v/>
      </c>
      <c r="AM29" s="27" t="n">
        <v>0</v>
      </c>
      <c r="AN29" s="28" t="n">
        <v>0</v>
      </c>
      <c r="AO29" s="28" t="n">
        <v>0</v>
      </c>
    </row>
    <row r="30" ht="21.75" customHeight="1">
      <c r="A30" s="191" t="n"/>
      <c r="B30" s="60" t="n"/>
      <c r="C30" s="62" t="n"/>
      <c r="D30" s="86" t="n"/>
      <c r="E30" s="29" t="n"/>
      <c r="F30" s="29" t="n"/>
      <c r="G30" s="29" t="n"/>
      <c r="H30" s="29" t="n"/>
      <c r="I30" s="29" t="n"/>
      <c r="J30" s="29" t="n"/>
      <c r="K30" s="29" t="n"/>
      <c r="L30" s="29" t="n"/>
      <c r="M30" s="29" t="n"/>
      <c r="N30" s="29" t="n"/>
      <c r="O30" s="29" t="n"/>
      <c r="P30" s="29" t="n"/>
      <c r="Q30" s="29" t="n"/>
      <c r="R30" s="29" t="n"/>
      <c r="S30" s="29" t="n"/>
      <c r="T30" s="29" t="n"/>
      <c r="U30" s="29" t="n"/>
      <c r="V30" s="29" t="n"/>
      <c r="W30" s="29" t="n"/>
      <c r="X30" s="29" t="n"/>
      <c r="Y30" s="29" t="n"/>
      <c r="Z30" s="29" t="n"/>
      <c r="AA30" s="29" t="n"/>
      <c r="AB30" s="29" t="n"/>
      <c r="AC30" s="29" t="n"/>
      <c r="AD30" s="29" t="n"/>
      <c r="AE30" s="29" t="n"/>
      <c r="AF30" s="29" t="n"/>
      <c r="AG30" s="29" t="n"/>
      <c r="AH30" s="29" t="n"/>
      <c r="AI30" s="29" t="n"/>
      <c r="AJ30" s="34">
        <f>COUNT(E30:AI30)</f>
        <v/>
      </c>
      <c r="AK30" s="27">
        <f>SUM(E30:AI30)</f>
        <v/>
      </c>
      <c r="AL30" s="27">
        <f>IF(AK30-AN$9&lt;0,0,AK30-AN$9)</f>
        <v/>
      </c>
      <c r="AM30" s="27" t="n">
        <v>0</v>
      </c>
      <c r="AN30" s="28" t="n">
        <v>0</v>
      </c>
      <c r="AO30" s="28" t="n">
        <v>0</v>
      </c>
    </row>
    <row r="31" ht="21.75" customHeight="1">
      <c r="A31" s="191" t="n"/>
      <c r="B31" s="60" t="n"/>
      <c r="C31" s="62" t="n"/>
      <c r="D31" s="86" t="n"/>
      <c r="E31" s="29" t="n"/>
      <c r="F31" s="29" t="n"/>
      <c r="G31" s="29" t="n"/>
      <c r="H31" s="29" t="n"/>
      <c r="I31" s="29" t="n"/>
      <c r="J31" s="29" t="n"/>
      <c r="K31" s="29" t="n"/>
      <c r="L31" s="29" t="n"/>
      <c r="M31" s="29" t="n"/>
      <c r="N31" s="29" t="n"/>
      <c r="O31" s="29" t="n"/>
      <c r="P31" s="29" t="n"/>
      <c r="Q31" s="29" t="n"/>
      <c r="R31" s="29" t="n"/>
      <c r="S31" s="29" t="n"/>
      <c r="T31" s="29" t="n"/>
      <c r="U31" s="29" t="n"/>
      <c r="V31" s="29" t="n"/>
      <c r="W31" s="29" t="n"/>
      <c r="X31" s="29" t="n"/>
      <c r="Y31" s="29" t="n"/>
      <c r="Z31" s="29" t="n"/>
      <c r="AA31" s="29" t="n"/>
      <c r="AB31" s="29" t="n"/>
      <c r="AC31" s="29" t="n"/>
      <c r="AD31" s="29" t="n"/>
      <c r="AE31" s="29" t="n"/>
      <c r="AF31" s="29" t="n"/>
      <c r="AG31" s="29" t="n"/>
      <c r="AH31" s="29" t="n"/>
      <c r="AI31" s="29" t="n"/>
      <c r="AJ31" s="34">
        <f>COUNT(E31:AI31)</f>
        <v/>
      </c>
      <c r="AK31" s="27">
        <f>SUM(E31:AI31)</f>
        <v/>
      </c>
      <c r="AL31" s="27">
        <f>IF(AK31-AN$9&lt;0,0,AK31-AN$9)</f>
        <v/>
      </c>
      <c r="AM31" s="27" t="n">
        <v>0</v>
      </c>
      <c r="AN31" s="28" t="n">
        <v>0</v>
      </c>
      <c r="AO31" s="28" t="n">
        <v>0</v>
      </c>
    </row>
    <row r="32" ht="21.75" customHeight="1">
      <c r="A32" s="191" t="n"/>
      <c r="B32" s="60" t="n"/>
      <c r="C32" s="62" t="n"/>
      <c r="D32" s="86" t="n"/>
      <c r="E32" s="29" t="n"/>
      <c r="F32" s="29" t="n"/>
      <c r="G32" s="29" t="n"/>
      <c r="H32" s="29" t="n"/>
      <c r="I32" s="29" t="n"/>
      <c r="J32" s="29" t="n"/>
      <c r="K32" s="29" t="n"/>
      <c r="L32" s="29" t="n"/>
      <c r="M32" s="29" t="n"/>
      <c r="N32" s="29" t="n"/>
      <c r="O32" s="29" t="n"/>
      <c r="P32" s="29" t="n"/>
      <c r="Q32" s="29" t="n"/>
      <c r="R32" s="29" t="n"/>
      <c r="S32" s="29" t="n"/>
      <c r="T32" s="29" t="n"/>
      <c r="U32" s="29" t="n"/>
      <c r="V32" s="29" t="n"/>
      <c r="W32" s="29" t="n"/>
      <c r="X32" s="29" t="n"/>
      <c r="Y32" s="29" t="n"/>
      <c r="Z32" s="29" t="n"/>
      <c r="AA32" s="29" t="n"/>
      <c r="AB32" s="29" t="n"/>
      <c r="AC32" s="29" t="n"/>
      <c r="AD32" s="29" t="n"/>
      <c r="AE32" s="29" t="n"/>
      <c r="AF32" s="29" t="n"/>
      <c r="AG32" s="29" t="n"/>
      <c r="AH32" s="29" t="n"/>
      <c r="AI32" s="29" t="n"/>
      <c r="AJ32" s="34">
        <f>COUNT(E32:AI32)</f>
        <v/>
      </c>
      <c r="AK32" s="27">
        <f>SUM(E32:AI32)</f>
        <v/>
      </c>
      <c r="AL32" s="27">
        <f>IF(AK32-AN$9&lt;0,0,AK32-AN$9)</f>
        <v/>
      </c>
      <c r="AM32" s="27" t="n">
        <v>0</v>
      </c>
      <c r="AN32" s="28" t="n">
        <v>0</v>
      </c>
      <c r="AO32" s="28" t="n">
        <v>0</v>
      </c>
    </row>
    <row r="33" ht="21.75" customHeight="1">
      <c r="A33" s="191" t="n"/>
      <c r="B33" s="60" t="n"/>
      <c r="C33" s="62" t="n"/>
      <c r="D33" s="86" t="n"/>
      <c r="E33" s="29" t="n"/>
      <c r="F33" s="29" t="n"/>
      <c r="G33" s="29" t="n"/>
      <c r="H33" s="29" t="n"/>
      <c r="I33" s="29" t="n"/>
      <c r="J33" s="29" t="n"/>
      <c r="K33" s="29" t="n"/>
      <c r="L33" s="29" t="n"/>
      <c r="M33" s="29" t="n"/>
      <c r="N33" s="29" t="n"/>
      <c r="O33" s="29" t="n"/>
      <c r="P33" s="29" t="n"/>
      <c r="Q33" s="29" t="n"/>
      <c r="R33" s="29" t="n"/>
      <c r="S33" s="29" t="n"/>
      <c r="T33" s="29" t="n"/>
      <c r="U33" s="29" t="n"/>
      <c r="V33" s="29" t="n"/>
      <c r="W33" s="29" t="n"/>
      <c r="X33" s="29" t="n"/>
      <c r="Y33" s="29" t="n"/>
      <c r="Z33" s="29" t="n"/>
      <c r="AA33" s="29" t="n"/>
      <c r="AB33" s="29" t="n"/>
      <c r="AC33" s="29" t="n"/>
      <c r="AD33" s="29" t="n"/>
      <c r="AE33" s="29" t="n"/>
      <c r="AF33" s="29" t="n"/>
      <c r="AG33" s="29" t="n"/>
      <c r="AH33" s="29" t="n"/>
      <c r="AI33" s="29" t="n"/>
      <c r="AJ33" s="34">
        <f>COUNT(E33:AI33)</f>
        <v/>
      </c>
      <c r="AK33" s="27">
        <f>SUM(E33:AI33)</f>
        <v/>
      </c>
      <c r="AL33" s="27">
        <f>IF(AK33-AN$9&lt;0,0,AK33-AN$9)</f>
        <v/>
      </c>
      <c r="AM33" s="27" t="n">
        <v>0</v>
      </c>
      <c r="AN33" s="28" t="n">
        <v>0</v>
      </c>
      <c r="AO33" s="28" t="n">
        <v>0</v>
      </c>
    </row>
    <row r="34" ht="21.75" customHeight="1">
      <c r="A34" s="191" t="n"/>
      <c r="B34" s="60" t="n"/>
      <c r="C34" s="62" t="n"/>
      <c r="D34" s="86" t="n"/>
      <c r="E34" s="29" t="n"/>
      <c r="F34" s="29" t="n"/>
      <c r="G34" s="29" t="n"/>
      <c r="H34" s="29" t="n"/>
      <c r="I34" s="29" t="n"/>
      <c r="J34" s="29" t="n"/>
      <c r="K34" s="29" t="n"/>
      <c r="L34" s="29" t="n"/>
      <c r="M34" s="29" t="n"/>
      <c r="N34" s="29" t="n"/>
      <c r="O34" s="29" t="n"/>
      <c r="P34" s="29" t="n"/>
      <c r="Q34" s="29" t="n"/>
      <c r="R34" s="29" t="n"/>
      <c r="S34" s="29" t="n"/>
      <c r="T34" s="29" t="n"/>
      <c r="U34" s="29" t="n"/>
      <c r="V34" s="29" t="n"/>
      <c r="W34" s="29" t="n"/>
      <c r="X34" s="29" t="n"/>
      <c r="Y34" s="29" t="n"/>
      <c r="Z34" s="29" t="n"/>
      <c r="AA34" s="29" t="n"/>
      <c r="AB34" s="29" t="n"/>
      <c r="AC34" s="29" t="n"/>
      <c r="AD34" s="29" t="n"/>
      <c r="AE34" s="29" t="n"/>
      <c r="AF34" s="29" t="n"/>
      <c r="AG34" s="29" t="n"/>
      <c r="AH34" s="29" t="n"/>
      <c r="AI34" s="29" t="n"/>
      <c r="AJ34" s="34">
        <f>COUNT(E34:AI34)</f>
        <v/>
      </c>
      <c r="AK34" s="27">
        <f>SUM(E34:AI34)</f>
        <v/>
      </c>
      <c r="AL34" s="27">
        <f>IF(AK34-AN$9&lt;0,0,AK34-AN$9)</f>
        <v/>
      </c>
      <c r="AM34" s="27" t="n">
        <v>0</v>
      </c>
      <c r="AN34" s="28" t="n">
        <v>0</v>
      </c>
      <c r="AO34" s="28" t="n">
        <v>0</v>
      </c>
    </row>
    <row r="35" ht="21.75" customHeight="1">
      <c r="A35" s="191" t="n"/>
      <c r="B35" s="60" t="n"/>
      <c r="C35" s="62" t="n"/>
      <c r="D35" s="86" t="n"/>
      <c r="E35" s="29" t="n"/>
      <c r="F35" s="29" t="n"/>
      <c r="G35" s="29" t="n"/>
      <c r="H35" s="29" t="n"/>
      <c r="I35" s="29" t="n"/>
      <c r="J35" s="29" t="n"/>
      <c r="K35" s="29" t="n"/>
      <c r="L35" s="29" t="n"/>
      <c r="M35" s="29" t="n"/>
      <c r="N35" s="29" t="n"/>
      <c r="O35" s="29" t="n"/>
      <c r="P35" s="29" t="n"/>
      <c r="Q35" s="29" t="n"/>
      <c r="R35" s="29" t="n"/>
      <c r="S35" s="29" t="n"/>
      <c r="T35" s="29" t="n"/>
      <c r="U35" s="29" t="n"/>
      <c r="V35" s="29" t="n"/>
      <c r="W35" s="29" t="n"/>
      <c r="X35" s="29" t="n"/>
      <c r="Y35" s="29" t="n"/>
      <c r="Z35" s="29" t="n"/>
      <c r="AA35" s="29" t="n"/>
      <c r="AB35" s="29" t="n"/>
      <c r="AC35" s="29" t="n"/>
      <c r="AD35" s="29" t="n"/>
      <c r="AE35" s="29" t="n"/>
      <c r="AF35" s="29" t="n"/>
      <c r="AG35" s="29" t="n"/>
      <c r="AH35" s="29" t="n"/>
      <c r="AI35" s="29" t="n"/>
      <c r="AJ35" s="34">
        <f>COUNT(E35:AI35)</f>
        <v/>
      </c>
      <c r="AK35" s="27">
        <f>SUM(E35:AI35)</f>
        <v/>
      </c>
      <c r="AL35" s="27">
        <f>IF(AK35-AN$9&lt;0,0,AK35-AN$9)</f>
        <v/>
      </c>
      <c r="AM35" s="27" t="n">
        <v>0</v>
      </c>
      <c r="AN35" s="28" t="n">
        <v>0</v>
      </c>
      <c r="AO35" s="28" t="n">
        <v>0</v>
      </c>
    </row>
    <row r="36" ht="21.75" customHeight="1">
      <c r="A36" s="191" t="n"/>
      <c r="B36" s="60" t="n"/>
      <c r="C36" s="62" t="n"/>
      <c r="D36" s="86" t="n"/>
      <c r="E36" s="29" t="n"/>
      <c r="F36" s="29" t="n"/>
      <c r="G36" s="29" t="n"/>
      <c r="H36" s="29" t="n"/>
      <c r="I36" s="29" t="n"/>
      <c r="J36" s="29" t="n"/>
      <c r="K36" s="29" t="n"/>
      <c r="L36" s="29" t="n"/>
      <c r="M36" s="29" t="n"/>
      <c r="N36" s="29" t="n"/>
      <c r="O36" s="29" t="n"/>
      <c r="P36" s="29" t="n"/>
      <c r="Q36" s="29" t="n"/>
      <c r="R36" s="29" t="n"/>
      <c r="S36" s="29" t="n"/>
      <c r="T36" s="29" t="n"/>
      <c r="U36" s="29" t="n"/>
      <c r="V36" s="29" t="n"/>
      <c r="W36" s="29" t="n"/>
      <c r="X36" s="29" t="n"/>
      <c r="Y36" s="29" t="n"/>
      <c r="Z36" s="29" t="n"/>
      <c r="AA36" s="29" t="n"/>
      <c r="AB36" s="29" t="n"/>
      <c r="AC36" s="29" t="n"/>
      <c r="AD36" s="29" t="n"/>
      <c r="AE36" s="29" t="n"/>
      <c r="AF36" s="29" t="n"/>
      <c r="AG36" s="29" t="n"/>
      <c r="AH36" s="29" t="n"/>
      <c r="AI36" s="29" t="n"/>
      <c r="AJ36" s="34">
        <f>COUNT(E36:AI36)</f>
        <v/>
      </c>
      <c r="AK36" s="27">
        <f>SUM(E36:AI36)</f>
        <v/>
      </c>
      <c r="AL36" s="27">
        <f>IF(AK36-AN$9&lt;0,0,AK36-AN$9)</f>
        <v/>
      </c>
      <c r="AM36" s="27" t="n">
        <v>0</v>
      </c>
      <c r="AN36" s="28" t="n">
        <v>0</v>
      </c>
      <c r="AO36" s="28" t="n">
        <v>0</v>
      </c>
    </row>
    <row r="37" ht="21.75" customHeight="1">
      <c r="A37" s="191" t="n"/>
      <c r="B37" s="60" t="n"/>
      <c r="C37" s="62" t="n"/>
      <c r="D37" s="86" t="n"/>
      <c r="E37" s="29" t="n"/>
      <c r="F37" s="29" t="n"/>
      <c r="G37" s="29" t="n"/>
      <c r="H37" s="29" t="n"/>
      <c r="I37" s="29" t="n"/>
      <c r="J37" s="29" t="n"/>
      <c r="K37" s="29" t="n"/>
      <c r="L37" s="29" t="n"/>
      <c r="M37" s="29" t="n"/>
      <c r="N37" s="29" t="n"/>
      <c r="O37" s="29" t="n"/>
      <c r="P37" s="29" t="n"/>
      <c r="Q37" s="29" t="n"/>
      <c r="R37" s="29" t="n"/>
      <c r="S37" s="29" t="n"/>
      <c r="T37" s="29" t="n"/>
      <c r="U37" s="29" t="n"/>
      <c r="V37" s="29" t="n"/>
      <c r="W37" s="29" t="n"/>
      <c r="X37" s="29" t="n"/>
      <c r="Y37" s="29" t="n"/>
      <c r="Z37" s="29" t="n"/>
      <c r="AA37" s="29" t="n"/>
      <c r="AB37" s="29" t="n"/>
      <c r="AC37" s="29" t="n"/>
      <c r="AD37" s="29" t="n"/>
      <c r="AE37" s="29" t="n"/>
      <c r="AF37" s="29" t="n"/>
      <c r="AG37" s="29" t="n"/>
      <c r="AH37" s="29" t="n"/>
      <c r="AI37" s="29" t="n"/>
      <c r="AJ37" s="34">
        <f>COUNT(E37:AI37)</f>
        <v/>
      </c>
      <c r="AK37" s="27">
        <f>SUM(E37:AI37)</f>
        <v/>
      </c>
      <c r="AL37" s="27">
        <f>IF(AK37-AN$9&lt;0,0,AK37-AN$9)</f>
        <v/>
      </c>
      <c r="AM37" s="27" t="n">
        <v>0</v>
      </c>
      <c r="AN37" s="28" t="n">
        <v>0</v>
      </c>
      <c r="AO37" s="28" t="n">
        <v>0</v>
      </c>
    </row>
    <row r="38" ht="21.75" customHeight="1">
      <c r="A38" s="191" t="n"/>
      <c r="B38" s="60" t="n"/>
      <c r="C38" s="62" t="n"/>
      <c r="D38" s="86" t="n"/>
      <c r="E38" s="29" t="n"/>
      <c r="F38" s="29" t="n"/>
      <c r="G38" s="29" t="n"/>
      <c r="H38" s="29" t="n"/>
      <c r="I38" s="29" t="n"/>
      <c r="J38" s="29" t="n"/>
      <c r="K38" s="29" t="n"/>
      <c r="L38" s="29" t="n"/>
      <c r="M38" s="29" t="n"/>
      <c r="N38" s="29" t="n"/>
      <c r="O38" s="29" t="n"/>
      <c r="P38" s="29" t="n"/>
      <c r="Q38" s="29" t="n"/>
      <c r="R38" s="29" t="n"/>
      <c r="S38" s="29" t="n"/>
      <c r="T38" s="29" t="n"/>
      <c r="U38" s="29" t="n"/>
      <c r="V38" s="29" t="n"/>
      <c r="W38" s="29" t="n"/>
      <c r="X38" s="29" t="n"/>
      <c r="Y38" s="29" t="n"/>
      <c r="Z38" s="29" t="n"/>
      <c r="AA38" s="29" t="n"/>
      <c r="AB38" s="29" t="n"/>
      <c r="AC38" s="29" t="n"/>
      <c r="AD38" s="29" t="n"/>
      <c r="AE38" s="29" t="n"/>
      <c r="AF38" s="29" t="n"/>
      <c r="AG38" s="29" t="n"/>
      <c r="AH38" s="29" t="n"/>
      <c r="AI38" s="29" t="n"/>
      <c r="AJ38" s="34">
        <f>COUNT(E38:AI38)</f>
        <v/>
      </c>
      <c r="AK38" s="27">
        <f>SUM(E38:AI38)</f>
        <v/>
      </c>
      <c r="AL38" s="27">
        <f>IF(AK38-AN$9&lt;0,0,AK38-AN$9)</f>
        <v/>
      </c>
      <c r="AM38" s="27" t="n">
        <v>0</v>
      </c>
      <c r="AN38" s="28" t="n">
        <v>0</v>
      </c>
      <c r="AO38" s="28" t="n">
        <v>0</v>
      </c>
    </row>
    <row r="39" ht="21.75" customHeight="1">
      <c r="A39" s="191" t="n"/>
      <c r="B39" s="60" t="n"/>
      <c r="C39" s="62" t="n"/>
      <c r="D39" s="86" t="n"/>
      <c r="E39" s="29" t="n"/>
      <c r="F39" s="29" t="n"/>
      <c r="G39" s="29" t="n"/>
      <c r="H39" s="29" t="n"/>
      <c r="I39" s="29" t="n"/>
      <c r="J39" s="29" t="n"/>
      <c r="K39" s="29" t="n"/>
      <c r="L39" s="29" t="n"/>
      <c r="M39" s="29" t="n"/>
      <c r="N39" s="29" t="n"/>
      <c r="O39" s="29" t="n"/>
      <c r="P39" s="29" t="n"/>
      <c r="Q39" s="29" t="n"/>
      <c r="R39" s="29" t="n"/>
      <c r="S39" s="29" t="n"/>
      <c r="T39" s="29" t="n"/>
      <c r="U39" s="29" t="n"/>
      <c r="V39" s="29" t="n"/>
      <c r="W39" s="29" t="n"/>
      <c r="X39" s="29" t="n"/>
      <c r="Y39" s="29" t="n"/>
      <c r="Z39" s="29" t="n"/>
      <c r="AA39" s="29" t="n"/>
      <c r="AB39" s="29" t="n"/>
      <c r="AC39" s="29" t="n"/>
      <c r="AD39" s="29" t="n"/>
      <c r="AE39" s="29" t="n"/>
      <c r="AF39" s="29" t="n"/>
      <c r="AG39" s="29" t="n"/>
      <c r="AH39" s="29" t="n"/>
      <c r="AI39" s="29" t="n"/>
      <c r="AJ39" s="34">
        <f>COUNT(E39:AI39)</f>
        <v/>
      </c>
      <c r="AK39" s="27">
        <f>SUM(E39:AI39)</f>
        <v/>
      </c>
      <c r="AL39" s="27">
        <f>IF(AK39-AN$9&lt;0,0,AK39-AN$9)</f>
        <v/>
      </c>
      <c r="AM39" s="27" t="n">
        <v>0</v>
      </c>
      <c r="AN39" s="28" t="n">
        <v>0</v>
      </c>
      <c r="AO39" s="28" t="n">
        <v>0</v>
      </c>
    </row>
    <row r="40" ht="21.75" customHeight="1">
      <c r="A40" s="191" t="n"/>
      <c r="B40" s="60" t="n"/>
      <c r="C40" s="62" t="n"/>
      <c r="D40" s="86" t="n"/>
      <c r="E40" s="29" t="n"/>
      <c r="F40" s="29" t="n"/>
      <c r="G40" s="29" t="n"/>
      <c r="H40" s="29" t="n"/>
      <c r="I40" s="29" t="n"/>
      <c r="J40" s="29" t="n"/>
      <c r="K40" s="29" t="n"/>
      <c r="L40" s="29" t="n"/>
      <c r="M40" s="29" t="n"/>
      <c r="N40" s="29" t="n"/>
      <c r="O40" s="29" t="n"/>
      <c r="P40" s="29" t="n"/>
      <c r="Q40" s="29" t="n"/>
      <c r="R40" s="29" t="n"/>
      <c r="S40" s="29" t="n"/>
      <c r="T40" s="29" t="n"/>
      <c r="U40" s="29" t="n"/>
      <c r="V40" s="29" t="n"/>
      <c r="W40" s="29" t="n"/>
      <c r="X40" s="29" t="n"/>
      <c r="Y40" s="29" t="n"/>
      <c r="Z40" s="29" t="n"/>
      <c r="AA40" s="29" t="n"/>
      <c r="AB40" s="29" t="n"/>
      <c r="AC40" s="29" t="n"/>
      <c r="AD40" s="29" t="n"/>
      <c r="AE40" s="29" t="n"/>
      <c r="AF40" s="29" t="n"/>
      <c r="AG40" s="29" t="n"/>
      <c r="AH40" s="29" t="n"/>
      <c r="AI40" s="29" t="n"/>
      <c r="AJ40" s="34">
        <f>COUNT(E40:AI40)</f>
        <v/>
      </c>
      <c r="AK40" s="27">
        <f>SUM(E40:AI40)</f>
        <v/>
      </c>
      <c r="AL40" s="27">
        <f>IF(AK40-AN$9&lt;0,0,AK40-AN$9)</f>
        <v/>
      </c>
      <c r="AM40" s="27" t="n">
        <v>0</v>
      </c>
      <c r="AN40" s="28" t="n">
        <v>0</v>
      </c>
      <c r="AO40" s="28" t="n">
        <v>0</v>
      </c>
    </row>
    <row r="41" ht="21.75" customHeight="1">
      <c r="A41" s="191" t="n"/>
      <c r="B41" s="60" t="n"/>
      <c r="C41" s="62" t="n"/>
      <c r="D41" s="86" t="n"/>
      <c r="E41" s="29" t="n"/>
      <c r="F41" s="29" t="n"/>
      <c r="G41" s="29" t="n"/>
      <c r="H41" s="29" t="n"/>
      <c r="I41" s="29" t="n"/>
      <c r="J41" s="29" t="n"/>
      <c r="K41" s="29" t="n"/>
      <c r="L41" s="29" t="n"/>
      <c r="M41" s="29" t="n"/>
      <c r="N41" s="29" t="n"/>
      <c r="O41" s="29" t="n"/>
      <c r="P41" s="29" t="n"/>
      <c r="Q41" s="29" t="n"/>
      <c r="R41" s="29" t="n"/>
      <c r="S41" s="29" t="n"/>
      <c r="T41" s="29" t="n"/>
      <c r="U41" s="29" t="n"/>
      <c r="V41" s="29" t="n"/>
      <c r="W41" s="29" t="n"/>
      <c r="X41" s="29" t="n"/>
      <c r="Y41" s="29" t="n"/>
      <c r="Z41" s="29" t="n"/>
      <c r="AA41" s="29" t="n"/>
      <c r="AB41" s="29" t="n"/>
      <c r="AC41" s="29" t="n"/>
      <c r="AD41" s="29" t="n"/>
      <c r="AE41" s="29" t="n"/>
      <c r="AF41" s="29" t="n"/>
      <c r="AG41" s="29" t="n"/>
      <c r="AH41" s="29" t="n"/>
      <c r="AI41" s="29" t="n"/>
      <c r="AJ41" s="34">
        <f>COUNT(E41:AI41)</f>
        <v/>
      </c>
      <c r="AK41" s="27">
        <f>SUM(E41:AI41)</f>
        <v/>
      </c>
      <c r="AL41" s="27">
        <f>IF(AK41-AN$9&lt;0,0,AK41-AN$9)</f>
        <v/>
      </c>
      <c r="AM41" s="27" t="n">
        <v>0</v>
      </c>
      <c r="AN41" s="28" t="n">
        <v>0</v>
      </c>
      <c r="AO41" s="28" t="n">
        <v>0</v>
      </c>
    </row>
    <row r="42" ht="21.75" customHeight="1">
      <c r="A42" s="191" t="n"/>
      <c r="B42" s="60" t="n"/>
      <c r="C42" s="62" t="n"/>
      <c r="D42" s="86" t="n"/>
      <c r="E42" s="29" t="n"/>
      <c r="F42" s="29" t="n"/>
      <c r="G42" s="29" t="n"/>
      <c r="H42" s="29" t="n"/>
      <c r="I42" s="29" t="n"/>
      <c r="J42" s="29" t="n"/>
      <c r="K42" s="29" t="n"/>
      <c r="L42" s="29" t="n"/>
      <c r="M42" s="29" t="n"/>
      <c r="N42" s="29" t="n"/>
      <c r="O42" s="29" t="n"/>
      <c r="P42" s="29" t="n"/>
      <c r="Q42" s="29" t="n"/>
      <c r="R42" s="29" t="n"/>
      <c r="S42" s="29" t="n"/>
      <c r="T42" s="29" t="n"/>
      <c r="U42" s="29" t="n"/>
      <c r="V42" s="29" t="n"/>
      <c r="W42" s="29" t="n"/>
      <c r="X42" s="29" t="n"/>
      <c r="Y42" s="29" t="n"/>
      <c r="Z42" s="29" t="n"/>
      <c r="AA42" s="29" t="n"/>
      <c r="AB42" s="29" t="n"/>
      <c r="AC42" s="29" t="n"/>
      <c r="AD42" s="29" t="n"/>
      <c r="AE42" s="29" t="n"/>
      <c r="AF42" s="29" t="n"/>
      <c r="AG42" s="29" t="n"/>
      <c r="AH42" s="29" t="n"/>
      <c r="AI42" s="29" t="n"/>
      <c r="AJ42" s="34">
        <f>COUNT(E42:AI42)</f>
        <v/>
      </c>
      <c r="AK42" s="27">
        <f>SUM(E42:AI42)</f>
        <v/>
      </c>
      <c r="AL42" s="27">
        <f>IF(AK42-AN$9&lt;0,0,AK42-AN$9)</f>
        <v/>
      </c>
      <c r="AM42" s="27" t="n">
        <v>0</v>
      </c>
      <c r="AN42" s="28" t="n">
        <v>0</v>
      </c>
      <c r="AO42" s="28" t="n">
        <v>0</v>
      </c>
    </row>
    <row r="43" ht="21.75" customHeight="1">
      <c r="A43" s="191" t="n"/>
      <c r="B43" s="60" t="n"/>
      <c r="C43" s="62" t="n"/>
      <c r="D43" s="86" t="n"/>
      <c r="E43" s="29" t="n"/>
      <c r="F43" s="29" t="n"/>
      <c r="G43" s="29" t="n"/>
      <c r="H43" s="29" t="n"/>
      <c r="I43" s="29" t="n"/>
      <c r="J43" s="29" t="n"/>
      <c r="K43" s="29" t="n"/>
      <c r="L43" s="29" t="n"/>
      <c r="M43" s="29" t="n"/>
      <c r="N43" s="29" t="n"/>
      <c r="O43" s="29" t="n"/>
      <c r="P43" s="29" t="n"/>
      <c r="Q43" s="29" t="n"/>
      <c r="R43" s="29" t="n"/>
      <c r="S43" s="29" t="n"/>
      <c r="T43" s="29" t="n"/>
      <c r="U43" s="29" t="n"/>
      <c r="V43" s="29" t="n"/>
      <c r="W43" s="29" t="n"/>
      <c r="X43" s="29" t="n"/>
      <c r="Y43" s="29" t="n"/>
      <c r="Z43" s="29" t="n"/>
      <c r="AA43" s="29" t="n"/>
      <c r="AB43" s="29" t="n"/>
      <c r="AC43" s="29" t="n"/>
      <c r="AD43" s="29" t="n"/>
      <c r="AE43" s="29" t="n"/>
      <c r="AF43" s="29" t="n"/>
      <c r="AG43" s="29" t="n"/>
      <c r="AH43" s="29" t="n"/>
      <c r="AI43" s="29" t="n"/>
      <c r="AJ43" s="34">
        <f>COUNT(E43:AI43)</f>
        <v/>
      </c>
      <c r="AK43" s="27">
        <f>SUM(E43:AI43)</f>
        <v/>
      </c>
      <c r="AL43" s="27">
        <f>IF(AK43-AN$9&lt;0,0,AK43-AN$9)</f>
        <v/>
      </c>
      <c r="AM43" s="27" t="n">
        <v>0</v>
      </c>
      <c r="AN43" s="28" t="n">
        <v>0</v>
      </c>
      <c r="AO43" s="28" t="n">
        <v>0</v>
      </c>
    </row>
    <row r="44" ht="21.75" customHeight="1">
      <c r="A44" s="191" t="n"/>
      <c r="B44" s="60" t="n"/>
      <c r="C44" s="62" t="n"/>
      <c r="D44" s="86" t="n"/>
      <c r="E44" s="29" t="n"/>
      <c r="F44" s="29" t="n"/>
      <c r="G44" s="29" t="n"/>
      <c r="H44" s="29" t="n"/>
      <c r="I44" s="29" t="n"/>
      <c r="J44" s="29" t="n"/>
      <c r="K44" s="29" t="n"/>
      <c r="L44" s="29" t="n"/>
      <c r="M44" s="29" t="n"/>
      <c r="N44" s="29" t="n"/>
      <c r="O44" s="29" t="n"/>
      <c r="P44" s="29" t="n"/>
      <c r="Q44" s="29" t="n"/>
      <c r="R44" s="29" t="n"/>
      <c r="S44" s="29" t="n"/>
      <c r="T44" s="29" t="n"/>
      <c r="U44" s="29" t="n"/>
      <c r="V44" s="29" t="n"/>
      <c r="W44" s="29" t="n"/>
      <c r="X44" s="29" t="n"/>
      <c r="Y44" s="29" t="n"/>
      <c r="Z44" s="29" t="n"/>
      <c r="AA44" s="29" t="n"/>
      <c r="AB44" s="29" t="n"/>
      <c r="AC44" s="29" t="n"/>
      <c r="AD44" s="29" t="n"/>
      <c r="AE44" s="29" t="n"/>
      <c r="AF44" s="29" t="n"/>
      <c r="AG44" s="29" t="n"/>
      <c r="AH44" s="29" t="n"/>
      <c r="AI44" s="29" t="n"/>
      <c r="AJ44" s="34">
        <f>COUNT(E44:AI44)</f>
        <v/>
      </c>
      <c r="AK44" s="27">
        <f>SUM(E44:AI44)</f>
        <v/>
      </c>
      <c r="AL44" s="27">
        <f>IF(AK44-AN$9&lt;0,0,AK44-AN$9)</f>
        <v/>
      </c>
      <c r="AM44" s="27" t="n">
        <v>0</v>
      </c>
      <c r="AN44" s="28" t="n">
        <v>0</v>
      </c>
      <c r="AO44" s="28" t="n">
        <v>0</v>
      </c>
    </row>
    <row r="45" ht="21.75" customHeight="1">
      <c r="A45" s="191" t="n"/>
      <c r="B45" s="60" t="n"/>
      <c r="C45" s="62" t="n"/>
      <c r="D45" s="86" t="n"/>
      <c r="E45" s="29" t="n"/>
      <c r="F45" s="29" t="n"/>
      <c r="G45" s="29" t="n"/>
      <c r="H45" s="29" t="n"/>
      <c r="I45" s="29" t="n"/>
      <c r="J45" s="29" t="n"/>
      <c r="K45" s="29" t="n"/>
      <c r="L45" s="29" t="n"/>
      <c r="M45" s="29" t="n"/>
      <c r="N45" s="29" t="n"/>
      <c r="O45" s="29" t="n"/>
      <c r="P45" s="29" t="n"/>
      <c r="Q45" s="29" t="n"/>
      <c r="R45" s="29" t="n"/>
      <c r="S45" s="29" t="n"/>
      <c r="T45" s="29" t="n"/>
      <c r="U45" s="29" t="n"/>
      <c r="V45" s="29" t="n"/>
      <c r="W45" s="29" t="n"/>
      <c r="X45" s="29" t="n"/>
      <c r="Y45" s="29" t="n"/>
      <c r="Z45" s="29" t="n"/>
      <c r="AA45" s="29" t="n"/>
      <c r="AB45" s="29" t="n"/>
      <c r="AC45" s="29" t="n"/>
      <c r="AD45" s="29" t="n"/>
      <c r="AE45" s="29" t="n"/>
      <c r="AF45" s="29" t="n"/>
      <c r="AG45" s="29" t="n"/>
      <c r="AH45" s="29" t="n"/>
      <c r="AI45" s="29" t="n"/>
      <c r="AJ45" s="34">
        <f>COUNT(E45:AI45)</f>
        <v/>
      </c>
      <c r="AK45" s="27">
        <f>SUM(E45:AI45)</f>
        <v/>
      </c>
      <c r="AL45" s="27">
        <f>IF(AK45-AN$9&lt;0,0,AK45-AN$9)</f>
        <v/>
      </c>
      <c r="AM45" s="27" t="n">
        <v>0</v>
      </c>
      <c r="AN45" s="28" t="n">
        <v>0</v>
      </c>
      <c r="AO45" s="28" t="n">
        <v>0</v>
      </c>
    </row>
    <row r="46" ht="21.75" customHeight="1">
      <c r="A46" s="191" t="n"/>
      <c r="B46" s="60" t="n"/>
      <c r="C46" s="62" t="n"/>
      <c r="D46" s="86" t="n"/>
      <c r="E46" s="29" t="n"/>
      <c r="F46" s="29" t="n"/>
      <c r="G46" s="29" t="n"/>
      <c r="H46" s="29" t="n"/>
      <c r="I46" s="29" t="n"/>
      <c r="J46" s="29" t="n"/>
      <c r="K46" s="29" t="n"/>
      <c r="L46" s="29" t="n"/>
      <c r="M46" s="29" t="n"/>
      <c r="N46" s="29" t="n"/>
      <c r="O46" s="29" t="n"/>
      <c r="P46" s="29" t="n"/>
      <c r="Q46" s="29" t="n"/>
      <c r="R46" s="29" t="n"/>
      <c r="S46" s="29" t="n"/>
      <c r="T46" s="29" t="n"/>
      <c r="U46" s="29" t="n"/>
      <c r="V46" s="29" t="n"/>
      <c r="W46" s="29" t="n"/>
      <c r="X46" s="29" t="n"/>
      <c r="Y46" s="29" t="n"/>
      <c r="Z46" s="29" t="n"/>
      <c r="AA46" s="29" t="n"/>
      <c r="AB46" s="29" t="n"/>
      <c r="AC46" s="29" t="n"/>
      <c r="AD46" s="29" t="n"/>
      <c r="AE46" s="29" t="n"/>
      <c r="AF46" s="29" t="n"/>
      <c r="AG46" s="29" t="n"/>
      <c r="AH46" s="29" t="n"/>
      <c r="AI46" s="29" t="n"/>
      <c r="AJ46" s="34">
        <f>COUNT(E46:AI46)</f>
        <v/>
      </c>
      <c r="AK46" s="27">
        <f>SUM(E46:AI46)</f>
        <v/>
      </c>
      <c r="AL46" s="27">
        <f>IF(AK46-AN$9&lt;0,0,AK46-AN$9)</f>
        <v/>
      </c>
      <c r="AM46" s="27" t="n">
        <v>0</v>
      </c>
      <c r="AN46" s="28" t="n">
        <v>0</v>
      </c>
      <c r="AO46" s="28" t="n">
        <v>0</v>
      </c>
    </row>
    <row r="47" ht="21.75" customHeight="1">
      <c r="A47" s="191" t="n"/>
      <c r="B47" s="60" t="n"/>
      <c r="C47" s="62" t="n"/>
      <c r="D47" s="86" t="n"/>
      <c r="E47" s="29" t="n"/>
      <c r="F47" s="29" t="n"/>
      <c r="G47" s="29" t="n"/>
      <c r="H47" s="29" t="n"/>
      <c r="I47" s="29" t="n"/>
      <c r="J47" s="29" t="n"/>
      <c r="K47" s="29" t="n"/>
      <c r="L47" s="29" t="n"/>
      <c r="M47" s="29" t="n"/>
      <c r="N47" s="29" t="n"/>
      <c r="O47" s="29" t="n"/>
      <c r="P47" s="29" t="n"/>
      <c r="Q47" s="29" t="n"/>
      <c r="R47" s="29" t="n"/>
      <c r="S47" s="29" t="n"/>
      <c r="T47" s="29" t="n"/>
      <c r="U47" s="29" t="n"/>
      <c r="V47" s="29" t="n"/>
      <c r="W47" s="29" t="n"/>
      <c r="X47" s="29" t="n"/>
      <c r="Y47" s="29" t="n"/>
      <c r="Z47" s="29" t="n"/>
      <c r="AA47" s="29" t="n"/>
      <c r="AB47" s="29" t="n"/>
      <c r="AC47" s="29" t="n"/>
      <c r="AD47" s="29" t="n"/>
      <c r="AE47" s="29" t="n"/>
      <c r="AF47" s="29" t="n"/>
      <c r="AG47" s="29" t="n"/>
      <c r="AH47" s="29" t="n"/>
      <c r="AI47" s="29" t="n"/>
      <c r="AJ47" s="34">
        <f>COUNT(E47:AI47)</f>
        <v/>
      </c>
      <c r="AK47" s="27">
        <f>SUM(E47:AI47)</f>
        <v/>
      </c>
      <c r="AL47" s="27">
        <f>IF(AK47-AN$9&lt;0,0,AK47-AN$9)</f>
        <v/>
      </c>
      <c r="AM47" s="27" t="n">
        <v>0</v>
      </c>
      <c r="AN47" s="28" t="n">
        <v>0</v>
      </c>
      <c r="AO47" s="28" t="n">
        <v>0</v>
      </c>
    </row>
    <row r="48" ht="21.75" customHeight="1">
      <c r="A48" s="191" t="n"/>
      <c r="B48" s="60" t="n"/>
      <c r="C48" s="62" t="n"/>
      <c r="D48" s="86" t="n"/>
      <c r="E48" s="29" t="n"/>
      <c r="F48" s="29" t="n"/>
      <c r="G48" s="29" t="n"/>
      <c r="H48" s="29" t="n"/>
      <c r="I48" s="29" t="n"/>
      <c r="J48" s="29" t="n"/>
      <c r="K48" s="29" t="n"/>
      <c r="L48" s="29" t="n"/>
      <c r="M48" s="29" t="n"/>
      <c r="N48" s="29" t="n"/>
      <c r="O48" s="29" t="n"/>
      <c r="P48" s="29" t="n"/>
      <c r="Q48" s="29" t="n"/>
      <c r="R48" s="29" t="n"/>
      <c r="S48" s="29" t="n"/>
      <c r="T48" s="29" t="n"/>
      <c r="U48" s="29" t="n"/>
      <c r="V48" s="29" t="n"/>
      <c r="W48" s="29" t="n"/>
      <c r="X48" s="29" t="n"/>
      <c r="Y48" s="29" t="n"/>
      <c r="Z48" s="29" t="n"/>
      <c r="AA48" s="29" t="n"/>
      <c r="AB48" s="29" t="n"/>
      <c r="AC48" s="29" t="n"/>
      <c r="AD48" s="29" t="n"/>
      <c r="AE48" s="29" t="n"/>
      <c r="AF48" s="29" t="n"/>
      <c r="AG48" s="29" t="n"/>
      <c r="AH48" s="29" t="n"/>
      <c r="AI48" s="29" t="n"/>
      <c r="AJ48" s="34">
        <f>COUNT(E48:AI48)</f>
        <v/>
      </c>
      <c r="AK48" s="27">
        <f>SUM(E48:AI48)</f>
        <v/>
      </c>
      <c r="AL48" s="27">
        <f>IF(AK48-AN$9&lt;0,0,AK48-AN$9)</f>
        <v/>
      </c>
      <c r="AM48" s="27" t="n">
        <v>0</v>
      </c>
      <c r="AN48" s="28" t="n">
        <v>0</v>
      </c>
      <c r="AO48" s="28" t="n">
        <v>0</v>
      </c>
    </row>
    <row r="49" ht="21.75" customHeight="1">
      <c r="A49" s="191" t="n"/>
      <c r="B49" s="60" t="n"/>
      <c r="C49" s="62" t="n"/>
      <c r="D49" s="86" t="n"/>
      <c r="E49" s="29" t="n"/>
      <c r="F49" s="29" t="n"/>
      <c r="G49" s="29" t="n"/>
      <c r="H49" s="29" t="n"/>
      <c r="I49" s="29" t="n"/>
      <c r="J49" s="29" t="n"/>
      <c r="K49" s="29" t="n"/>
      <c r="L49" s="29" t="n"/>
      <c r="M49" s="29" t="n"/>
      <c r="N49" s="29" t="n"/>
      <c r="O49" s="29" t="n"/>
      <c r="P49" s="29" t="n"/>
      <c r="Q49" s="29" t="n"/>
      <c r="R49" s="29" t="n"/>
      <c r="S49" s="29" t="n"/>
      <c r="T49" s="29" t="n"/>
      <c r="U49" s="29" t="n"/>
      <c r="V49" s="29" t="n"/>
      <c r="W49" s="29" t="n"/>
      <c r="X49" s="29" t="n"/>
      <c r="Y49" s="29" t="n"/>
      <c r="Z49" s="29" t="n"/>
      <c r="AA49" s="29" t="n"/>
      <c r="AB49" s="29" t="n"/>
      <c r="AC49" s="29" t="n"/>
      <c r="AD49" s="29" t="n"/>
      <c r="AE49" s="29" t="n"/>
      <c r="AF49" s="29" t="n"/>
      <c r="AG49" s="29" t="n"/>
      <c r="AH49" s="29" t="n"/>
      <c r="AI49" s="29" t="n"/>
      <c r="AJ49" s="34">
        <f>COUNT(E49:AI49)</f>
        <v/>
      </c>
      <c r="AK49" s="27">
        <f>SUM(E49:AI49)</f>
        <v/>
      </c>
      <c r="AL49" s="27">
        <f>IF(AK49-AN$9&lt;0,0,AK49-AN$9)</f>
        <v/>
      </c>
      <c r="AM49" s="27" t="n">
        <v>0</v>
      </c>
      <c r="AN49" s="28" t="n">
        <v>0</v>
      </c>
      <c r="AO49" s="28" t="n">
        <v>0</v>
      </c>
    </row>
    <row r="50" ht="21.75" customHeight="1">
      <c r="A50" s="191" t="n"/>
      <c r="B50" s="60" t="n"/>
      <c r="C50" s="62" t="n"/>
      <c r="D50" s="86" t="n"/>
      <c r="E50" s="29" t="n"/>
      <c r="F50" s="29" t="n"/>
      <c r="G50" s="29" t="n"/>
      <c r="H50" s="29" t="n"/>
      <c r="I50" s="29" t="n"/>
      <c r="J50" s="29" t="n"/>
      <c r="K50" s="29" t="n"/>
      <c r="L50" s="29" t="n"/>
      <c r="M50" s="29" t="n"/>
      <c r="N50" s="29" t="n"/>
      <c r="O50" s="29" t="n"/>
      <c r="P50" s="29" t="n"/>
      <c r="Q50" s="29" t="n"/>
      <c r="R50" s="29" t="n"/>
      <c r="S50" s="29" t="n"/>
      <c r="T50" s="29" t="n"/>
      <c r="U50" s="29" t="n"/>
      <c r="V50" s="29" t="n"/>
      <c r="W50" s="29" t="n"/>
      <c r="X50" s="29" t="n"/>
      <c r="Y50" s="29" t="n"/>
      <c r="Z50" s="29" t="n"/>
      <c r="AA50" s="29" t="n"/>
      <c r="AB50" s="29" t="n"/>
      <c r="AC50" s="29" t="n"/>
      <c r="AD50" s="29" t="n"/>
      <c r="AE50" s="29" t="n"/>
      <c r="AF50" s="29" t="n"/>
      <c r="AG50" s="29" t="n"/>
      <c r="AH50" s="29" t="n"/>
      <c r="AI50" s="29" t="n"/>
      <c r="AJ50" s="34">
        <f>COUNT(E50:AI50)</f>
        <v/>
      </c>
      <c r="AK50" s="27">
        <f>SUM(E50:AI50)</f>
        <v/>
      </c>
      <c r="AL50" s="27">
        <f>IF(AK50-AN$9&lt;0,0,AK50-AN$9)</f>
        <v/>
      </c>
      <c r="AM50" s="27" t="n">
        <v>0</v>
      </c>
      <c r="AN50" s="28" t="n">
        <v>0</v>
      </c>
      <c r="AO50" s="28" t="n">
        <v>0</v>
      </c>
    </row>
    <row r="51" ht="21.75" customHeight="1">
      <c r="A51" s="191" t="n"/>
      <c r="B51" s="60" t="n"/>
      <c r="C51" s="62" t="n"/>
      <c r="D51" s="86" t="n"/>
      <c r="E51" s="29" t="n"/>
      <c r="F51" s="29" t="n"/>
      <c r="G51" s="29" t="n"/>
      <c r="H51" s="29" t="n"/>
      <c r="I51" s="29" t="n"/>
      <c r="J51" s="29" t="n"/>
      <c r="K51" s="29" t="n"/>
      <c r="L51" s="29" t="n"/>
      <c r="M51" s="29" t="n"/>
      <c r="N51" s="29" t="n"/>
      <c r="O51" s="29" t="n"/>
      <c r="P51" s="29" t="n"/>
      <c r="Q51" s="29" t="n"/>
      <c r="R51" s="29" t="n"/>
      <c r="S51" s="29" t="n"/>
      <c r="T51" s="29" t="n"/>
      <c r="U51" s="29" t="n"/>
      <c r="V51" s="29" t="n"/>
      <c r="W51" s="29" t="n"/>
      <c r="X51" s="29" t="n"/>
      <c r="Y51" s="29" t="n"/>
      <c r="Z51" s="29" t="n"/>
      <c r="AA51" s="29" t="n"/>
      <c r="AB51" s="29" t="n"/>
      <c r="AC51" s="29" t="n"/>
      <c r="AD51" s="29" t="n"/>
      <c r="AE51" s="29" t="n"/>
      <c r="AF51" s="29" t="n"/>
      <c r="AG51" s="29" t="n"/>
      <c r="AH51" s="29" t="n"/>
      <c r="AI51" s="29" t="n"/>
      <c r="AJ51" s="34">
        <f>COUNT(E51:AI51)</f>
        <v/>
      </c>
      <c r="AK51" s="27">
        <f>SUM(E51:AI51)</f>
        <v/>
      </c>
      <c r="AL51" s="27">
        <f>IF(AK51-AN$9&lt;0,0,AK51-AN$9)</f>
        <v/>
      </c>
      <c r="AM51" s="27" t="n">
        <v>0</v>
      </c>
      <c r="AN51" s="28" t="n">
        <v>0</v>
      </c>
      <c r="AO51" s="28" t="n">
        <v>0</v>
      </c>
    </row>
    <row r="52" ht="21.75" customHeight="1">
      <c r="A52" s="191" t="n"/>
      <c r="B52" s="60" t="n"/>
      <c r="C52" s="62" t="n"/>
      <c r="D52" s="86" t="n"/>
      <c r="E52" s="29" t="n"/>
      <c r="F52" s="29" t="n"/>
      <c r="G52" s="29" t="n"/>
      <c r="H52" s="29" t="n"/>
      <c r="I52" s="29" t="n"/>
      <c r="J52" s="29" t="n"/>
      <c r="K52" s="29" t="n"/>
      <c r="L52" s="29" t="n"/>
      <c r="M52" s="29" t="n"/>
      <c r="N52" s="29" t="n"/>
      <c r="O52" s="29" t="n"/>
      <c r="P52" s="29" t="n"/>
      <c r="Q52" s="29" t="n"/>
      <c r="R52" s="29" t="n"/>
      <c r="S52" s="29" t="n"/>
      <c r="T52" s="29" t="n"/>
      <c r="U52" s="29" t="n"/>
      <c r="V52" s="29" t="n"/>
      <c r="W52" s="29" t="n"/>
      <c r="X52" s="29" t="n"/>
      <c r="Y52" s="29" t="n"/>
      <c r="Z52" s="29" t="n"/>
      <c r="AA52" s="29" t="n"/>
      <c r="AB52" s="29" t="n"/>
      <c r="AC52" s="29" t="n"/>
      <c r="AD52" s="29" t="n"/>
      <c r="AE52" s="29" t="n"/>
      <c r="AF52" s="29" t="n"/>
      <c r="AG52" s="29" t="n"/>
      <c r="AH52" s="29" t="n"/>
      <c r="AI52" s="29" t="n"/>
      <c r="AJ52" s="34">
        <f>COUNT(E52:AI52)</f>
        <v/>
      </c>
      <c r="AK52" s="27">
        <f>SUM(E52:AI52)</f>
        <v/>
      </c>
      <c r="AL52" s="27">
        <f>IF(AK52-AN$9&lt;0,0,AK52-AN$9)</f>
        <v/>
      </c>
      <c r="AM52" s="27" t="n">
        <v>0</v>
      </c>
      <c r="AN52" s="28" t="n">
        <v>0</v>
      </c>
      <c r="AO52" s="28" t="n">
        <v>0</v>
      </c>
    </row>
    <row r="53" ht="21.75" customHeight="1">
      <c r="A53" s="191" t="n"/>
      <c r="B53" s="60" t="n"/>
      <c r="C53" s="62" t="n"/>
      <c r="D53" s="86" t="n"/>
      <c r="E53" s="29" t="n"/>
      <c r="F53" s="29" t="n"/>
      <c r="G53" s="29" t="n"/>
      <c r="H53" s="29" t="n"/>
      <c r="I53" s="29" t="n"/>
      <c r="J53" s="29" t="n"/>
      <c r="K53" s="29" t="n"/>
      <c r="L53" s="29" t="n"/>
      <c r="M53" s="29" t="n"/>
      <c r="N53" s="29" t="n"/>
      <c r="O53" s="29" t="n"/>
      <c r="P53" s="29" t="n"/>
      <c r="Q53" s="29" t="n"/>
      <c r="R53" s="29" t="n"/>
      <c r="S53" s="29" t="n"/>
      <c r="T53" s="29" t="n"/>
      <c r="U53" s="29" t="n"/>
      <c r="V53" s="29" t="n"/>
      <c r="W53" s="29" t="n"/>
      <c r="X53" s="29" t="n"/>
      <c r="Y53" s="29" t="n"/>
      <c r="Z53" s="29" t="n"/>
      <c r="AA53" s="29" t="n"/>
      <c r="AB53" s="29" t="n"/>
      <c r="AC53" s="29" t="n"/>
      <c r="AD53" s="29" t="n"/>
      <c r="AE53" s="29" t="n"/>
      <c r="AF53" s="29" t="n"/>
      <c r="AG53" s="29" t="n"/>
      <c r="AH53" s="29" t="n"/>
      <c r="AI53" s="29" t="n"/>
      <c r="AJ53" s="34">
        <f>COUNT(E53:AI53)</f>
        <v/>
      </c>
      <c r="AK53" s="27">
        <f>SUM(E53:AI53)</f>
        <v/>
      </c>
      <c r="AL53" s="27">
        <f>IF(AK53-AN$9&lt;0,0,AK53-AN$9)</f>
        <v/>
      </c>
      <c r="AM53" s="27" t="n">
        <v>0</v>
      </c>
      <c r="AN53" s="28" t="n">
        <v>0</v>
      </c>
      <c r="AO53" s="28" t="n">
        <v>0</v>
      </c>
    </row>
    <row r="54" ht="21.75" customHeight="1">
      <c r="A54" s="191" t="n"/>
      <c r="B54" s="60" t="n"/>
      <c r="C54" s="62" t="n"/>
      <c r="D54" s="86" t="n"/>
      <c r="E54" s="29" t="n"/>
      <c r="F54" s="29" t="n"/>
      <c r="G54" s="29" t="n"/>
      <c r="H54" s="29" t="n"/>
      <c r="I54" s="29" t="n"/>
      <c r="J54" s="29" t="n"/>
      <c r="K54" s="29" t="n"/>
      <c r="L54" s="29" t="n"/>
      <c r="M54" s="29" t="n"/>
      <c r="N54" s="29" t="n"/>
      <c r="O54" s="29" t="n"/>
      <c r="P54" s="29" t="n"/>
      <c r="Q54" s="29" t="n"/>
      <c r="R54" s="29" t="n"/>
      <c r="S54" s="29" t="n"/>
      <c r="T54" s="29" t="n"/>
      <c r="U54" s="29" t="n"/>
      <c r="V54" s="29" t="n"/>
      <c r="W54" s="29" t="n"/>
      <c r="X54" s="29" t="n"/>
      <c r="Y54" s="29" t="n"/>
      <c r="Z54" s="29" t="n"/>
      <c r="AA54" s="29" t="n"/>
      <c r="AB54" s="29" t="n"/>
      <c r="AC54" s="29" t="n"/>
      <c r="AD54" s="29" t="n"/>
      <c r="AE54" s="29" t="n"/>
      <c r="AF54" s="29" t="n"/>
      <c r="AG54" s="29" t="n"/>
      <c r="AH54" s="29" t="n"/>
      <c r="AI54" s="29" t="n"/>
      <c r="AJ54" s="34">
        <f>COUNT(E54:AI54)</f>
        <v/>
      </c>
      <c r="AK54" s="27">
        <f>SUM(E54:AI54)</f>
        <v/>
      </c>
      <c r="AL54" s="27">
        <f>IF(AK54-AN$9&lt;0,0,AK54-AN$9)</f>
        <v/>
      </c>
      <c r="AM54" s="27" t="n">
        <v>0</v>
      </c>
      <c r="AN54" s="28" t="n">
        <v>0</v>
      </c>
      <c r="AO54" s="28" t="n">
        <v>0</v>
      </c>
    </row>
    <row r="55" ht="21.75" customHeight="1">
      <c r="A55" s="191" t="n"/>
      <c r="B55" s="60" t="n"/>
      <c r="C55" s="62" t="n"/>
      <c r="D55" s="86" t="n"/>
      <c r="E55" s="29" t="n"/>
      <c r="F55" s="29" t="n"/>
      <c r="G55" s="29" t="n"/>
      <c r="H55" s="29" t="n"/>
      <c r="I55" s="29" t="n"/>
      <c r="J55" s="29" t="n"/>
      <c r="K55" s="29" t="n"/>
      <c r="L55" s="29" t="n"/>
      <c r="M55" s="29" t="n"/>
      <c r="N55" s="29" t="n"/>
      <c r="O55" s="29" t="n"/>
      <c r="P55" s="29" t="n"/>
      <c r="Q55" s="29" t="n"/>
      <c r="R55" s="29" t="n"/>
      <c r="S55" s="29" t="n"/>
      <c r="T55" s="29" t="n"/>
      <c r="U55" s="29" t="n"/>
      <c r="V55" s="29" t="n"/>
      <c r="W55" s="29" t="n"/>
      <c r="X55" s="29" t="n"/>
      <c r="Y55" s="29" t="n"/>
      <c r="Z55" s="29" t="n"/>
      <c r="AA55" s="29" t="n"/>
      <c r="AB55" s="29" t="n"/>
      <c r="AC55" s="29" t="n"/>
      <c r="AD55" s="29" t="n"/>
      <c r="AE55" s="29" t="n"/>
      <c r="AF55" s="29" t="n"/>
      <c r="AG55" s="29" t="n"/>
      <c r="AH55" s="29" t="n"/>
      <c r="AI55" s="29" t="n"/>
      <c r="AJ55" s="34">
        <f>COUNT(E55:AI55)</f>
        <v/>
      </c>
      <c r="AK55" s="27">
        <f>SUM(E55:AI55)</f>
        <v/>
      </c>
      <c r="AL55" s="27">
        <f>IF(AK55-AN$9&lt;0,0,AK55-AN$9)</f>
        <v/>
      </c>
      <c r="AM55" s="27" t="n">
        <v>0</v>
      </c>
      <c r="AN55" s="28" t="n">
        <v>0</v>
      </c>
      <c r="AO55" s="28" t="n">
        <v>0</v>
      </c>
    </row>
    <row r="56" ht="21.75" customHeight="1">
      <c r="A56" s="191" t="n"/>
      <c r="B56" s="60" t="n"/>
      <c r="C56" s="62" t="n"/>
      <c r="D56" s="86" t="n"/>
      <c r="E56" s="29" t="n"/>
      <c r="F56" s="29" t="n"/>
      <c r="G56" s="29" t="n"/>
      <c r="H56" s="29" t="n"/>
      <c r="I56" s="29" t="n"/>
      <c r="J56" s="29" t="n"/>
      <c r="K56" s="29" t="n"/>
      <c r="L56" s="29" t="n"/>
      <c r="M56" s="29" t="n"/>
      <c r="N56" s="29" t="n"/>
      <c r="O56" s="29" t="n"/>
      <c r="P56" s="29" t="n"/>
      <c r="Q56" s="29" t="n"/>
      <c r="R56" s="29" t="n"/>
      <c r="S56" s="29" t="n"/>
      <c r="T56" s="29" t="n"/>
      <c r="U56" s="29" t="n"/>
      <c r="V56" s="29" t="n"/>
      <c r="W56" s="29" t="n"/>
      <c r="X56" s="29" t="n"/>
      <c r="Y56" s="29" t="n"/>
      <c r="Z56" s="29" t="n"/>
      <c r="AA56" s="29" t="n"/>
      <c r="AB56" s="29" t="n"/>
      <c r="AC56" s="29" t="n"/>
      <c r="AD56" s="29" t="n"/>
      <c r="AE56" s="29" t="n"/>
      <c r="AF56" s="29" t="n"/>
      <c r="AG56" s="29" t="n"/>
      <c r="AH56" s="29" t="n"/>
      <c r="AI56" s="29" t="n"/>
      <c r="AJ56" s="34">
        <f>COUNT(E56:AI56)</f>
        <v/>
      </c>
      <c r="AK56" s="27">
        <f>SUM(E56:AI56)</f>
        <v/>
      </c>
      <c r="AL56" s="27">
        <f>IF(AK56-AN$9&lt;0,0,AK56-AN$9)</f>
        <v/>
      </c>
      <c r="AM56" s="27" t="n">
        <v>0</v>
      </c>
      <c r="AN56" s="28" t="n">
        <v>0</v>
      </c>
      <c r="AO56" s="28" t="n">
        <v>0</v>
      </c>
    </row>
    <row r="57" ht="21.75" customHeight="1">
      <c r="A57" s="191" t="n"/>
      <c r="B57" s="60" t="n"/>
      <c r="C57" s="62" t="n"/>
      <c r="D57" s="86" t="n"/>
      <c r="E57" s="29" t="n"/>
      <c r="F57" s="29" t="n"/>
      <c r="G57" s="29" t="n"/>
      <c r="H57" s="29" t="n"/>
      <c r="I57" s="29" t="n"/>
      <c r="J57" s="29" t="n"/>
      <c r="K57" s="29" t="n"/>
      <c r="L57" s="29" t="n"/>
      <c r="M57" s="29" t="n"/>
      <c r="N57" s="29" t="n"/>
      <c r="O57" s="29" t="n"/>
      <c r="P57" s="29" t="n"/>
      <c r="Q57" s="29" t="n"/>
      <c r="R57" s="29" t="n"/>
      <c r="S57" s="29" t="n"/>
      <c r="T57" s="29" t="n"/>
      <c r="U57" s="29" t="n"/>
      <c r="V57" s="29" t="n"/>
      <c r="W57" s="29" t="n"/>
      <c r="X57" s="29" t="n"/>
      <c r="Y57" s="29" t="n"/>
      <c r="Z57" s="29" t="n"/>
      <c r="AA57" s="29" t="n"/>
      <c r="AB57" s="29" t="n"/>
      <c r="AC57" s="29" t="n"/>
      <c r="AD57" s="29" t="n"/>
      <c r="AE57" s="29" t="n"/>
      <c r="AF57" s="29" t="n"/>
      <c r="AG57" s="29" t="n"/>
      <c r="AH57" s="29" t="n"/>
      <c r="AI57" s="29" t="n"/>
      <c r="AJ57" s="34">
        <f>COUNT(E57:AI57)</f>
        <v/>
      </c>
      <c r="AK57" s="27">
        <f>SUM(E57:AI57)</f>
        <v/>
      </c>
      <c r="AL57" s="27">
        <f>IF(AK57-AN$9&lt;0,0,AK57-AN$9)</f>
        <v/>
      </c>
      <c r="AM57" s="27" t="n">
        <v>0</v>
      </c>
      <c r="AN57" s="28" t="n">
        <v>0</v>
      </c>
      <c r="AO57" s="28" t="n">
        <v>0</v>
      </c>
    </row>
    <row r="58" ht="21.75" customHeight="1">
      <c r="A58" s="191" t="n"/>
      <c r="B58" s="60" t="n"/>
      <c r="C58" s="62" t="n"/>
      <c r="D58" s="86" t="n"/>
      <c r="E58" s="29" t="n"/>
      <c r="F58" s="29" t="n"/>
      <c r="G58" s="29" t="n"/>
      <c r="H58" s="29" t="n"/>
      <c r="I58" s="29" t="n"/>
      <c r="J58" s="29" t="n"/>
      <c r="K58" s="29" t="n"/>
      <c r="L58" s="29" t="n"/>
      <c r="M58" s="29" t="n"/>
      <c r="N58" s="29" t="n"/>
      <c r="O58" s="29" t="n"/>
      <c r="P58" s="29" t="n"/>
      <c r="Q58" s="29" t="n"/>
      <c r="R58" s="29" t="n"/>
      <c r="S58" s="29" t="n"/>
      <c r="T58" s="29" t="n"/>
      <c r="U58" s="29" t="n"/>
      <c r="V58" s="29" t="n"/>
      <c r="W58" s="29" t="n"/>
      <c r="X58" s="29" t="n"/>
      <c r="Y58" s="29" t="n"/>
      <c r="Z58" s="29" t="n"/>
      <c r="AA58" s="29" t="n"/>
      <c r="AB58" s="29" t="n"/>
      <c r="AC58" s="29" t="n"/>
      <c r="AD58" s="29" t="n"/>
      <c r="AE58" s="29" t="n"/>
      <c r="AF58" s="29" t="n"/>
      <c r="AG58" s="29" t="n"/>
      <c r="AH58" s="29" t="n"/>
      <c r="AI58" s="29" t="n"/>
      <c r="AJ58" s="34">
        <f>COUNT(E58:AI58)</f>
        <v/>
      </c>
      <c r="AK58" s="27">
        <f>SUM(E58:AI58)</f>
        <v/>
      </c>
      <c r="AL58" s="27">
        <f>IF(AK58-AN$9&lt;0,0,AK58-AN$9)</f>
        <v/>
      </c>
      <c r="AM58" s="27" t="n">
        <v>0</v>
      </c>
      <c r="AN58" s="28" t="n">
        <v>0</v>
      </c>
      <c r="AO58" s="28" t="n">
        <v>0</v>
      </c>
    </row>
    <row r="59" ht="21.75" customHeight="1">
      <c r="A59" s="191" t="n"/>
      <c r="B59" s="60" t="n"/>
      <c r="C59" s="62" t="n"/>
      <c r="D59" s="86" t="n"/>
      <c r="E59" s="29" t="n"/>
      <c r="F59" s="29" t="n"/>
      <c r="G59" s="29" t="n"/>
      <c r="H59" s="29" t="n"/>
      <c r="I59" s="29" t="n"/>
      <c r="J59" s="29" t="n"/>
      <c r="K59" s="29" t="n"/>
      <c r="L59" s="29" t="n"/>
      <c r="M59" s="29" t="n"/>
      <c r="N59" s="29" t="n"/>
      <c r="O59" s="29" t="n"/>
      <c r="P59" s="29" t="n"/>
      <c r="Q59" s="29" t="n"/>
      <c r="R59" s="29" t="n"/>
      <c r="S59" s="29" t="n"/>
      <c r="T59" s="29" t="n"/>
      <c r="U59" s="29" t="n"/>
      <c r="V59" s="29" t="n"/>
      <c r="W59" s="29" t="n"/>
      <c r="X59" s="29" t="n"/>
      <c r="Y59" s="29" t="n"/>
      <c r="Z59" s="29" t="n"/>
      <c r="AA59" s="29" t="n"/>
      <c r="AB59" s="29" t="n"/>
      <c r="AC59" s="29" t="n"/>
      <c r="AD59" s="29" t="n"/>
      <c r="AE59" s="29" t="n"/>
      <c r="AF59" s="29" t="n"/>
      <c r="AG59" s="29" t="n"/>
      <c r="AH59" s="29" t="n"/>
      <c r="AI59" s="29" t="n"/>
      <c r="AJ59" s="34">
        <f>COUNT(E59:AI59)</f>
        <v/>
      </c>
      <c r="AK59" s="27">
        <f>SUM(E59:AI59)</f>
        <v/>
      </c>
      <c r="AL59" s="27">
        <f>IF(AK59-AN$9&lt;0,0,AK59-AN$9)</f>
        <v/>
      </c>
      <c r="AM59" s="27" t="n">
        <v>0</v>
      </c>
      <c r="AN59" s="28" t="n">
        <v>0</v>
      </c>
      <c r="AO59" s="28" t="n">
        <v>0</v>
      </c>
    </row>
    <row r="60" ht="16.5" customHeight="1">
      <c r="B60" s="135" t="n"/>
      <c r="C60" s="135" t="n"/>
      <c r="D60" s="12" t="n"/>
      <c r="E60" s="12" t="n"/>
      <c r="F60" s="12" t="n"/>
      <c r="G60" s="12" t="n"/>
      <c r="H60" s="12" t="n"/>
      <c r="I60" s="12" t="n"/>
      <c r="J60" s="12" t="n"/>
      <c r="K60" s="12" t="n"/>
      <c r="L60" s="73" t="n"/>
      <c r="M60" s="73" t="n"/>
      <c r="N60" s="11" t="n"/>
      <c r="O60" s="11" t="n"/>
      <c r="P60" s="11" t="n"/>
      <c r="Q60" s="11" t="n"/>
      <c r="R60" s="11" t="n"/>
    </row>
    <row r="61" ht="30" customHeight="1">
      <c r="B61" s="135" t="n"/>
      <c r="C61" s="2" t="n"/>
      <c r="D61" s="136" t="n"/>
      <c r="E61" s="136" t="n"/>
      <c r="F61" s="136" t="n"/>
      <c r="G61" s="2" t="n"/>
      <c r="H61" s="2" t="n"/>
      <c r="I61" s="2" t="n"/>
      <c r="J61" s="2" t="n"/>
      <c r="K61" s="2" t="n"/>
      <c r="L61" s="2" t="n"/>
      <c r="M61" s="74" t="n"/>
      <c r="N61" s="137" t="n"/>
      <c r="O61" s="2" t="n"/>
      <c r="P61" s="2" t="n"/>
      <c r="Q61" s="2" t="n"/>
      <c r="R61" s="2" t="n"/>
      <c r="S61" s="2" t="n"/>
    </row>
    <row r="62" ht="16.5" customHeight="1">
      <c r="B62" s="135" t="n"/>
      <c r="C62" s="135" t="n"/>
      <c r="D62" s="12" t="n"/>
      <c r="E62" s="12" t="n"/>
      <c r="F62" s="12" t="n"/>
      <c r="G62" s="12" t="n"/>
      <c r="H62" s="12" t="n"/>
      <c r="I62" s="12" t="n"/>
      <c r="J62" s="12" t="n"/>
      <c r="K62" s="12" t="n"/>
      <c r="L62" s="73" t="n"/>
      <c r="M62" s="73" t="n"/>
      <c r="N62" s="11" t="n"/>
      <c r="O62" s="11" t="n"/>
      <c r="P62" s="11" t="n"/>
      <c r="Q62" s="11" t="n"/>
      <c r="R62" s="11" t="n"/>
    </row>
    <row r="63">
      <c r="B63" s="136" t="n"/>
      <c r="C63" s="10" t="n"/>
      <c r="D63" s="10" t="n"/>
      <c r="E63" s="10" t="n"/>
      <c r="F63" s="136" t="n"/>
      <c r="G63" s="136" t="n"/>
      <c r="H63" s="136" t="n"/>
      <c r="I63" s="136" t="n"/>
      <c r="J63" s="136" t="n"/>
      <c r="K63" s="136" t="n"/>
      <c r="L63" s="136" t="n"/>
      <c r="M63" s="136" t="n"/>
      <c r="N63" s="136" t="n"/>
      <c r="O63" s="136" t="n"/>
      <c r="P63" s="136" t="n"/>
      <c r="Q63" s="136" t="n"/>
      <c r="R63" s="136" t="n"/>
      <c r="S63" s="5" t="n"/>
      <c r="T63" s="5" t="n"/>
    </row>
    <row r="64" ht="30" customHeight="1">
      <c r="B64" s="198" t="inlineStr">
        <is>
          <t>ორგანიზაციის/სტრუქტურული ქვედანაყოფის ხელმძღვანელი</t>
        </is>
      </c>
      <c r="C64" s="199" t="n"/>
      <c r="D64" s="200" t="n"/>
      <c r="E64" s="201" t="inlineStr">
        <is>
          <t>ხელმძღვანელი</t>
        </is>
      </c>
      <c r="F64" s="199" t="n"/>
      <c r="G64" s="199" t="n"/>
      <c r="H64" s="200" t="n"/>
      <c r="I64" s="47" t="n"/>
      <c r="J64" s="51" t="n"/>
      <c r="K64" s="52" t="n"/>
      <c r="L64" s="52" t="n"/>
      <c r="M64" s="53" t="n"/>
      <c r="N64" s="136" t="n"/>
      <c r="O64" s="136" t="n"/>
      <c r="P64" s="136" t="n"/>
      <c r="Q64" s="136" t="n"/>
      <c r="R64" s="136" t="n"/>
      <c r="S64" s="5" t="n"/>
      <c r="T64" s="5" t="n"/>
    </row>
    <row r="65" ht="28.5" customHeight="1">
      <c r="B65" s="202" t="n"/>
      <c r="C65" s="203" t="n"/>
      <c r="D65" s="204" t="n"/>
      <c r="E65" s="202" t="n"/>
      <c r="F65" s="203" t="n"/>
      <c r="G65" s="203" t="n"/>
      <c r="H65" s="204" t="n"/>
      <c r="I65" s="47" t="n"/>
      <c r="J65" s="201" t="inlineStr">
        <is>
          <t>ხელმოწერა</t>
        </is>
      </c>
      <c r="K65" s="205" t="n"/>
      <c r="L65" s="205" t="n"/>
      <c r="M65" s="206" t="n"/>
      <c r="N65" s="136" t="n"/>
      <c r="O65" s="136" t="n"/>
      <c r="P65" s="136" t="n"/>
      <c r="Q65" s="136" t="n"/>
      <c r="R65" s="136" t="n"/>
      <c r="S65" s="5" t="n"/>
      <c r="T65" s="5" t="n"/>
    </row>
    <row r="66" ht="30" customHeight="1">
      <c r="B66" s="48" t="n"/>
      <c r="C66" s="49" t="n"/>
      <c r="D66" s="49" t="n"/>
      <c r="E66" s="50" t="n"/>
      <c r="F66" s="50" t="n"/>
      <c r="G66" s="50" t="n"/>
      <c r="H66" s="50" t="n"/>
      <c r="I66" s="47" t="n"/>
      <c r="J66" s="50" t="n"/>
      <c r="K66" s="50" t="n"/>
      <c r="L66" s="10" t="n"/>
      <c r="M66" s="11" t="n"/>
      <c r="N66" s="137" t="n"/>
      <c r="O66" s="2" t="n"/>
      <c r="P66" s="2" t="n"/>
      <c r="Q66" s="2" t="n"/>
      <c r="R66" s="2" t="n"/>
      <c r="S66" s="2" t="n"/>
      <c r="T66" s="5" t="n"/>
    </row>
    <row r="67" ht="27" customHeight="1">
      <c r="B67" s="198" t="inlineStr">
        <is>
          <t>ტაბელის შედგენაზე პასუხისმგებელი პირი</t>
        </is>
      </c>
      <c r="C67" s="199" t="n"/>
      <c r="D67" s="200" t="n"/>
      <c r="E67" s="201" t="inlineStr">
        <is>
          <t>პასუხისმგებელი</t>
        </is>
      </c>
      <c r="F67" s="199" t="n"/>
      <c r="G67" s="199" t="n"/>
      <c r="H67" s="200" t="n"/>
      <c r="I67" s="47" t="n"/>
      <c r="J67" s="51" t="n"/>
      <c r="K67" s="52" t="n"/>
      <c r="L67" s="52" t="n"/>
      <c r="M67" s="53" t="n"/>
      <c r="N67" s="11" t="n"/>
      <c r="O67" s="11" t="n"/>
      <c r="P67" s="11" t="n"/>
      <c r="Q67" s="11" t="n"/>
      <c r="R67" s="11" t="n"/>
      <c r="S67" s="5" t="n"/>
      <c r="T67" s="5" t="n"/>
    </row>
    <row r="68" ht="30" customHeight="1">
      <c r="B68" s="202" t="n"/>
      <c r="C68" s="203" t="n"/>
      <c r="D68" s="204" t="n"/>
      <c r="E68" s="202" t="n"/>
      <c r="F68" s="203" t="n"/>
      <c r="G68" s="203" t="n"/>
      <c r="H68" s="204" t="n"/>
      <c r="I68" s="47" t="n"/>
      <c r="J68" s="201" t="inlineStr">
        <is>
          <t>ხელმოწერა</t>
        </is>
      </c>
      <c r="K68" s="205" t="n"/>
      <c r="L68" s="205" t="n"/>
      <c r="M68" s="206" t="n"/>
      <c r="N68" s="137" t="n"/>
      <c r="O68" s="2" t="n"/>
      <c r="P68" s="2" t="n"/>
      <c r="Q68" s="2" t="n"/>
      <c r="R68" s="2" t="n"/>
      <c r="S68" s="2" t="n"/>
      <c r="T68" s="5" t="n"/>
    </row>
    <row r="69" ht="16.5" customHeight="1">
      <c r="B69" s="135" t="n"/>
      <c r="C69" s="135" t="n"/>
      <c r="D69" s="12" t="n"/>
      <c r="E69" s="12" t="n"/>
      <c r="F69" s="12" t="n"/>
      <c r="G69" s="12" t="n"/>
      <c r="H69" s="12" t="n"/>
      <c r="I69" s="12" t="n"/>
      <c r="J69" s="12" t="n"/>
      <c r="K69" s="12" t="n"/>
      <c r="L69" s="12" t="n"/>
      <c r="M69" s="12" t="n"/>
      <c r="N69" s="11" t="n"/>
      <c r="O69" s="11" t="n"/>
      <c r="P69" s="11" t="n"/>
      <c r="Q69" s="11" t="n"/>
      <c r="R69" s="11" t="n"/>
      <c r="S69" s="5" t="n"/>
      <c r="T69" s="5" t="n"/>
    </row>
  </sheetData>
  <mergeCells count="70">
    <mergeCell ref="B64:D65"/>
    <mergeCell ref="AN9:AO9"/>
    <mergeCell ref="E8:AK10"/>
    <mergeCell ref="N68:S68"/>
    <mergeCell ref="T2:U3"/>
    <mergeCell ref="E64:H65"/>
    <mergeCell ref="F12:F13"/>
    <mergeCell ref="L12:L13"/>
    <mergeCell ref="N61:S61"/>
    <mergeCell ref="F61:L61"/>
    <mergeCell ref="N12:N13"/>
    <mergeCell ref="AC12:AC13"/>
    <mergeCell ref="AE12:AE13"/>
    <mergeCell ref="AN11:AN13"/>
    <mergeCell ref="Z12:Z13"/>
    <mergeCell ref="AB12:AB13"/>
    <mergeCell ref="AL10:AO10"/>
    <mergeCell ref="V4:AC4"/>
    <mergeCell ref="R12:R13"/>
    <mergeCell ref="AD4:AJ4"/>
    <mergeCell ref="T12:T13"/>
    <mergeCell ref="I12:I13"/>
    <mergeCell ref="B8:B13"/>
    <mergeCell ref="B61:C61"/>
    <mergeCell ref="K12:K13"/>
    <mergeCell ref="M12:M13"/>
    <mergeCell ref="AF12:AF13"/>
    <mergeCell ref="O12:O13"/>
    <mergeCell ref="U12:U13"/>
    <mergeCell ref="AO11:AO13"/>
    <mergeCell ref="W12:W13"/>
    <mergeCell ref="C2:D2"/>
    <mergeCell ref="S12:S13"/>
    <mergeCell ref="B67:D68"/>
    <mergeCell ref="W5:AC5"/>
    <mergeCell ref="D1:AN1"/>
    <mergeCell ref="AE5:AJ5"/>
    <mergeCell ref="H12:H13"/>
    <mergeCell ref="Y12:Y13"/>
    <mergeCell ref="J12:J13"/>
    <mergeCell ref="AG12:AG13"/>
    <mergeCell ref="P12:P13"/>
    <mergeCell ref="AA12:AA13"/>
    <mergeCell ref="AI12:AI13"/>
    <mergeCell ref="AJ11:AJ13"/>
    <mergeCell ref="J68:M68"/>
    <mergeCell ref="AL11:AL13"/>
    <mergeCell ref="E14:AI14"/>
    <mergeCell ref="V12:V13"/>
    <mergeCell ref="C4:Q4"/>
    <mergeCell ref="AD12:AD13"/>
    <mergeCell ref="J65:M65"/>
    <mergeCell ref="AL8:AM8"/>
    <mergeCell ref="T4:U5"/>
    <mergeCell ref="C8:C13"/>
    <mergeCell ref="V2:AD2"/>
    <mergeCell ref="AN8:AO8"/>
    <mergeCell ref="I2:Q2"/>
    <mergeCell ref="E12:E13"/>
    <mergeCell ref="D8:D13"/>
    <mergeCell ref="G12:G13"/>
    <mergeCell ref="X12:X13"/>
    <mergeCell ref="N66:S66"/>
    <mergeCell ref="Q12:Q13"/>
    <mergeCell ref="AH12:AH13"/>
    <mergeCell ref="AK11:AK13"/>
    <mergeCell ref="AM11:AM13"/>
    <mergeCell ref="E2:H2"/>
    <mergeCell ref="E67:H68"/>
    <mergeCell ref="AL9:AM9"/>
  </mergeCells>
  <conditionalFormatting sqref="E15:AI59">
    <cfRule type="containsText" priority="341" operator="containsText" dxfId="4" text="X">
      <formula>NOT(ISERROR(SEARCH("X",E15)))</formula>
    </cfRule>
    <cfRule type="containsText" priority="342" operator="containsText" dxfId="3" text="უხ/შ">
      <formula>NOT(ISERROR(SEARCH("უხ/შ",E15)))</formula>
    </cfRule>
    <cfRule type="containsText" priority="343" operator="containsText" dxfId="2" text="შ">
      <formula>NOT(ISERROR(SEARCH("შ",E15)))</formula>
    </cfRule>
    <cfRule type="containsText" priority="344" operator="containsText" dxfId="1" text="ს/ფ">
      <formula>NOT(ISERROR(SEARCH("ს/ფ",E15)))</formula>
    </cfRule>
    <cfRule type="containsText" priority="345" operator="containsText" dxfId="0" text="გ">
      <formula>NOT(ISERROR(SEARCH("გ",E15)))</formula>
    </cfRule>
    <cfRule type="containsText" priority="6" operator="containsText" dxfId="3340" text="დ">
      <formula>E15="დ"</formula>
    </cfRule>
  </conditionalFormatting>
  <conditionalFormatting sqref="E11:AI12">
    <cfRule type="expression" priority="346" dxfId="147" stopIfTrue="1">
      <formula>OR(WEEKDAY(E$11)=1,WEEKDAY(E$11)=7)</formula>
    </cfRule>
  </conditionalFormatting>
  <dataValidations count="3">
    <dataValidation sqref="X65527 X131063 X196599 X262135 X327671 X393207 X458743 X524279 X589815 X655351 X720887 X786423 X851959 X917495 X983031 BG2 BG65527 BG131063 BG196599 BG262135 BG327671 BG393207 BG458743 BG524279 BG589815 BG655351 BG720887 BG786423 BG851959 BG917495 BG983031 LC2 LC65527 LC131063 LC196599 LC262135 LC327671 LC393207 LC458743 LC524279 LC589815 LC655351 LC720887 LC786423 LC851959 LC917495 LC983031 UY2 UY65527 UY131063 UY196599 UY262135 UY327671 UY393207 UY458743 UY524279 UY589815 UY655351 UY720887 UY786423 UY851959 UY917495 UY983031 AEU2 AEU65527 AEU131063 AEU196599 AEU262135 AEU327671 AEU393207 AEU458743 AEU524279 AEU589815 AEU655351 AEU720887 AEU786423 AEU851959 AEU917495 AEU983031 AOQ2 AOQ65527 AOQ131063 AOQ196599 AOQ262135 AOQ327671 AOQ393207 AOQ458743 AOQ524279 AOQ589815 AOQ655351 AOQ720887 AOQ786423 AOQ851959 AOQ917495 AOQ983031 AYM2 AYM65527 AYM131063 AYM196599 AYM262135 AYM327671 AYM393207 AYM458743 AYM524279 AYM589815 AYM655351 AYM720887 AYM786423 AYM851959 AYM917495 AYM983031 BII2 BII65527 BII131063 BII196599 BII262135 BII327671 BII393207 BII458743 BII524279 BII589815 BII655351 BII720887 BII786423 BII851959 BII917495 BII983031 BSE2 BSE65527 BSE131063 BSE196599 BSE262135 BSE327671 BSE393207 BSE458743 BSE524279 BSE589815 BSE655351 BSE720887 BSE786423 BSE851959 BSE917495 BSE983031 CCA2 CCA65527 CCA131063 CCA196599 CCA262135 CCA327671 CCA393207 CCA458743 CCA524279 CCA589815 CCA655351 CCA720887 CCA786423 CCA851959 CCA917495 CCA983031 CLW2 CLW65527 CLW131063 CLW196599 CLW262135 CLW327671 CLW393207 CLW458743 CLW524279 CLW589815 CLW655351 CLW720887 CLW786423 CLW851959 CLW917495 CLW983031 CVS2 CVS65527 CVS131063 CVS196599 CVS262135 CVS327671 CVS393207 CVS458743 CVS524279 CVS589815 CVS655351 CVS720887 CVS786423 CVS851959 CVS917495 CVS983031 DFO2 DFO65527 DFO131063 DFO196599 DFO262135 DFO327671 DFO393207 DFO458743 DFO524279 DFO589815 DFO655351 DFO720887 DFO786423 DFO851959 DFO917495 DFO983031 DPK2 DPK65527 DPK131063 DPK196599 DPK262135 DPK327671 DPK393207 DPK458743 DPK524279 DPK589815 DPK655351 DPK720887 DPK786423 DPK851959 DPK917495 DPK983031 DZG2 DZG65527 DZG131063 DZG196599 DZG262135 DZG327671 DZG393207 DZG458743 DZG524279 DZG589815 DZG655351 DZG720887 DZG786423 DZG851959 DZG917495 DZG983031 EJC2 EJC65527 EJC131063 EJC196599 EJC262135 EJC327671 EJC393207 EJC458743 EJC524279 EJC589815 EJC655351 EJC720887 EJC786423 EJC851959 EJC917495 EJC983031 ESY2 ESY65527 ESY131063 ESY196599 ESY262135 ESY327671 ESY393207 ESY458743 ESY524279 ESY589815 ESY655351 ESY720887 ESY786423 ESY851959 ESY917495 ESY983031 FCU2 FCU65527 FCU131063 FCU196599 FCU262135 FCU327671 FCU393207 FCU458743 FCU524279 FCU589815 FCU655351 FCU720887 FCU786423 FCU851959 FCU917495 FCU983031 FMQ2 FMQ65527 FMQ131063 FMQ196599 FMQ262135 FMQ327671 FMQ393207 FMQ458743 FMQ524279 FMQ589815 FMQ655351 FMQ720887 FMQ786423 FMQ851959 FMQ917495 FMQ983031 FWM2 FWM65527 FWM131063 FWM196599 FWM262135 FWM327671 FWM393207 FWM458743 FWM524279 FWM589815 FWM655351 FWM720887 FWM786423 FWM851959 FWM917495 FWM983031 GGI2 GGI65527 GGI131063 GGI196599 GGI262135 GGI327671 GGI393207 GGI458743 GGI524279 GGI589815 GGI655351 GGI720887 GGI786423 GGI851959 GGI917495 GGI983031 GQE2 GQE65527 GQE131063 GQE196599 GQE262135 GQE327671 GQE393207 GQE458743 GQE524279 GQE589815 GQE655351 GQE720887 GQE786423 GQE851959 GQE917495 GQE983031 HAA2 HAA65527 HAA131063 HAA196599 HAA262135 HAA327671 HAA393207 HAA458743 HAA524279 HAA589815 HAA655351 HAA720887 HAA786423 HAA851959 HAA917495 HAA983031 HJW2 HJW65527 HJW131063 HJW196599 HJW262135 HJW327671 HJW393207 HJW458743 HJW524279 HJW589815 HJW655351 HJW720887 HJW786423 HJW851959 HJW917495 HJW983031 HTS2 HTS65527 HTS131063 HTS196599 HTS262135 HTS327671 HTS393207 HTS458743 HTS524279 HTS589815 HTS655351 HTS720887 HTS786423 HTS851959 HTS917495 HTS983031 IDO2 IDO65527 IDO131063 IDO196599 IDO262135 IDO327671 IDO393207 IDO458743 IDO524279 IDO589815 IDO655351 IDO720887 IDO786423 IDO851959 IDO917495 IDO983031 INK2 INK65527 INK131063 INK196599 INK262135 INK327671 INK393207 INK458743 INK524279 INK589815 INK655351 INK720887 INK786423 INK851959 INK917495 INK983031 IXG2 IXG65527 IXG131063 IXG196599 IXG262135 IXG327671 IXG393207 IXG458743 IXG524279 IXG589815 IXG655351 IXG720887 IXG786423 IXG851959 IXG917495 IXG983031 JHC2 JHC65527 JHC131063 JHC196599 JHC262135 JHC327671 JHC393207 JHC458743 JHC524279 JHC589815 JHC655351 JHC720887 JHC786423 JHC851959 JHC917495 JHC983031 JQY2 JQY65527 JQY131063 JQY196599 JQY262135 JQY327671 JQY393207 JQY458743 JQY524279 JQY589815 JQY655351 JQY720887 JQY786423 JQY851959 JQY917495 JQY983031 KAU2 KAU65527 KAU131063 KAU196599 KAU262135 KAU327671 KAU393207 KAU458743 KAU524279 KAU589815 KAU655351 KAU720887 KAU786423 KAU851959 KAU917495 KAU983031 KKQ2 KKQ65527 KKQ131063 KKQ196599 KKQ262135 KKQ327671 KKQ393207 KKQ458743 KKQ524279 KKQ589815 KKQ655351 KKQ720887 KKQ786423 KKQ851959 KKQ917495 KKQ983031 KUM2 KUM65527 KUM131063 KUM196599 KUM262135 KUM327671 KUM393207 KUM458743 KUM524279 KUM589815 KUM655351 KUM720887 KUM786423 KUM851959 KUM917495 KUM983031 LEI2 LEI65527 LEI131063 LEI196599 LEI262135 LEI327671 LEI393207 LEI458743 LEI524279 LEI589815 LEI655351 LEI720887 LEI786423 LEI851959 LEI917495 LEI983031 LOE2 LOE65527 LOE131063 LOE196599 LOE262135 LOE327671 LOE393207 LOE458743 LOE524279 LOE589815 LOE655351 LOE720887 LOE786423 LOE851959 LOE917495 LOE983031 LYA2 LYA65527 LYA131063 LYA196599 LYA262135 LYA327671 LYA393207 LYA458743 LYA524279 LYA589815 LYA655351 LYA720887 LYA786423 LYA851959 LYA917495 LYA983031 MHW2 MHW65527 MHW131063 MHW196599 MHW262135 MHW327671 MHW393207 MHW458743 MHW524279 MHW589815 MHW655351 MHW720887 MHW786423 MHW851959 MHW917495 MHW983031 MRS2 MRS65527 MRS131063 MRS196599 MRS262135 MRS327671 MRS393207 MRS458743 MRS524279 MRS589815 MRS655351 MRS720887 MRS786423 MRS851959 MRS917495 MRS983031 NBO2 NBO65527 NBO131063 NBO196599 NBO262135 NBO327671 NBO393207 NBO458743 NBO524279 NBO589815 NBO655351 NBO720887 NBO786423 NBO851959 NBO917495 NBO983031 NLK2 NLK65527 NLK131063 NLK196599 NLK262135 NLK327671 NLK393207 NLK458743 NLK524279 NLK589815 NLK655351 NLK720887 NLK786423 NLK851959 NLK917495 NLK983031 NVG2 NVG65527 NVG131063 NVG196599 NVG262135 NVG327671 NVG393207 NVG458743 NVG524279 NVG589815 NVG655351 NVG720887 NVG786423 NVG851959 NVG917495 NVG983031 OFC2 OFC65527 OFC131063 OFC196599 OFC262135 OFC327671 OFC393207 OFC458743 OFC524279 OFC589815 OFC655351 OFC720887 OFC786423 OFC851959 OFC917495 OFC983031 OOY2 OOY65527 OOY131063 OOY196599 OOY262135 OOY327671 OOY393207 OOY458743 OOY524279 OOY589815 OOY655351 OOY720887 OOY786423 OOY851959 OOY917495 OOY983031 OYU2 OYU65527 OYU131063 OYU196599 OYU262135 OYU327671 OYU393207 OYU458743 OYU524279 OYU589815 OYU655351 OYU720887 OYU786423 OYU851959 OYU917495 OYU983031 PIQ2 PIQ65527 PIQ131063 PIQ196599 PIQ262135 PIQ327671 PIQ393207 PIQ458743 PIQ524279 PIQ589815 PIQ655351 PIQ720887 PIQ786423 PIQ851959 PIQ917495 PIQ983031 PSM2 PSM65527 PSM131063 PSM196599 PSM262135 PSM327671 PSM393207 PSM458743 PSM524279 PSM589815 PSM655351 PSM720887 PSM786423 PSM851959 PSM917495 PSM983031 QCI2 QCI65527 QCI131063 QCI196599 QCI262135 QCI327671 QCI393207 QCI458743 QCI524279 QCI589815 QCI655351 QCI720887 QCI786423 QCI851959 QCI917495 QCI983031 QME2 QME65527 QME131063 QME196599 QME262135 QME327671 QME393207 QME458743 QME524279 QME589815 QME655351 QME720887 QME786423 QME851959 QME917495 QME983031 QWA2 QWA65527 QWA131063 QWA196599 QWA262135 QWA327671 QWA393207 QWA458743 QWA524279 QWA589815 QWA655351 QWA720887 QWA786423 QWA851959 QWA917495 QWA983031 RFW2 RFW65527 RFW131063 RFW196599 RFW262135 RFW327671 RFW393207 RFW458743 RFW524279 RFW589815 RFW655351 RFW720887 RFW786423 RFW851959 RFW917495 RFW983031 RPS2 RPS65527 RPS131063 RPS196599 RPS262135 RPS327671 RPS393207 RPS458743 RPS524279 RPS589815 RPS655351 RPS720887 RPS786423 RPS851959 RPS917495 RPS983031 RZO2 RZO65527 RZO131063 RZO196599 RZO262135 RZO327671 RZO393207 RZO458743 RZO524279 RZO589815 RZO655351 RZO720887 RZO786423 RZO851959 RZO917495 RZO983031 SJK2 SJK65527 SJK131063 SJK196599 SJK262135 SJK327671 SJK393207 SJK458743 SJK524279 SJK589815 SJK655351 SJK720887 SJK786423 SJK851959 SJK917495 SJK983031 STG2 STG65527 STG131063 STG196599 STG262135 STG327671 STG393207 STG458743 STG524279 STG589815 STG655351 STG720887 STG786423 STG851959 STG917495 STG983031 TDC2 TDC65527 TDC131063 TDC196599 TDC262135 TDC327671 TDC393207 TDC458743 TDC524279 TDC589815 TDC655351 TDC720887 TDC786423 TDC851959 TDC917495 TDC983031 TMY2 TMY65527 TMY131063 TMY196599 TMY262135 TMY327671 TMY393207 TMY458743 TMY524279 TMY589815 TMY655351 TMY720887 TMY786423 TMY851959 TMY917495 TMY983031 TWU2 TWU65527 TWU131063 TWU196599 TWU262135 TWU327671 TWU393207 TWU458743 TWU524279 TWU589815 TWU655351 TWU720887 TWU786423 TWU851959 TWU917495 TWU983031 UGQ2 UGQ65527 UGQ131063 UGQ196599 UGQ262135 UGQ327671 UGQ393207 UGQ458743 UGQ524279 UGQ589815 UGQ655351 UGQ720887 UGQ786423 UGQ851959 UGQ917495 UGQ983031 UQM2 UQM65527 UQM131063 UQM196599 UQM262135 UQM327671 UQM393207 UQM458743 UQM524279 UQM589815 UQM655351 UQM720887 UQM786423 UQM851959 UQM917495 UQM983031 VAI2 VAI65527 VAI131063 VAI196599 VAI262135 VAI327671 VAI393207 VAI458743 VAI524279 VAI589815 VAI655351 VAI720887 VAI786423 VAI851959 VAI917495 VAI983031 VKE2 VKE65527 VKE131063 VKE196599 VKE262135 VKE327671 VKE393207 VKE458743 VKE524279 VKE589815 VKE655351 VKE720887 VKE786423 VKE851959 VKE917495 VKE983031 VUA2 VUA65527 VUA131063 VUA196599 VUA262135 VUA327671 VUA393207 VUA458743 VUA524279 VUA589815 VUA655351 VUA720887 VUA786423 VUA851959 VUA917495 VUA983031 WDW2 WDW65527 WDW131063 WDW196599 WDW262135 WDW327671 WDW393207 WDW458743 WDW524279 WDW589815 WDW655351 WDW720887 WDW786423 WDW851959 WDW917495 WDW983031 WNS2 WNS65527 WNS131063 WNS196599 WNS262135 WNS327671 WNS393207 WNS458743 WNS524279 WNS589815 WNS655351 WNS720887 WNS786423 WNS851959 WNS917495 WNS983031" showDropDown="0" showInputMessage="1" showErrorMessage="1" allowBlank="1" errorTitle="Invalid Month" error="Please enter a month such as January, February, etc. or select the month from the drop-down box." type="list">
      <formula1>"იანვარი,თებერვალი,მარტი,აპრილი,მაისი,ივნისი,აგვისტო,სექტემბერი,ოქტომბერი,ნოემბერი,დეკემბერი"</formula1>
    </dataValidation>
    <dataValidation sqref="AE65527 AE131063 AE196599 AE262135 AE327671 AE393207 AE458743 AE524279 AE589815 AE655351 AE720887 AE786423 AE851959 AE917495 AE983031 AK4 BN2 BN65527 BN131063 BN196599 BN262135 BN327671 BN393207 BN458743 BN524279 BN589815 BN655351 BN720887 BN786423 BN851959 BN917495 BN983031 LJ2 LJ65527 LJ131063 LJ196599 LJ262135 LJ327671 LJ393207 LJ458743 LJ524279 LJ589815 LJ655351 LJ720887 LJ786423 LJ851959 LJ917495 LJ983031 VF2 VF65527 VF131063 VF196599 VF262135 VF327671 VF393207 VF458743 VF524279 VF589815 VF655351 VF720887 VF786423 VF851959 VF917495 VF983031 AFB2 AFB65527 AFB131063 AFB196599 AFB262135 AFB327671 AFB393207 AFB458743 AFB524279 AFB589815 AFB655351 AFB720887 AFB786423 AFB851959 AFB917495 AFB983031 AOX2 AOX65527 AOX131063 AOX196599 AOX262135 AOX327671 AOX393207 AOX458743 AOX524279 AOX589815 AOX655351 AOX720887 AOX786423 AOX851959 AOX917495 AOX983031 AYT2 AYT65527 AYT131063 AYT196599 AYT262135 AYT327671 AYT393207 AYT458743 AYT524279 AYT589815 AYT655351 AYT720887 AYT786423 AYT851959 AYT917495 AYT983031 BIP2 BIP65527 BIP131063 BIP196599 BIP262135 BIP327671 BIP393207 BIP458743 BIP524279 BIP589815 BIP655351 BIP720887 BIP786423 BIP851959 BIP917495 BIP983031 BSL2 BSL65527 BSL131063 BSL196599 BSL262135 BSL327671 BSL393207 BSL458743 BSL524279 BSL589815 BSL655351 BSL720887 BSL786423 BSL851959 BSL917495 BSL983031 CCH2 CCH65527 CCH131063 CCH196599 CCH262135 CCH327671 CCH393207 CCH458743 CCH524279 CCH589815 CCH655351 CCH720887 CCH786423 CCH851959 CCH917495 CCH983031 CMD2 CMD65527 CMD131063 CMD196599 CMD262135 CMD327671 CMD393207 CMD458743 CMD524279 CMD589815 CMD655351 CMD720887 CMD786423 CMD851959 CMD917495 CMD983031 CVZ2 CVZ65527 CVZ131063 CVZ196599 CVZ262135 CVZ327671 CVZ393207 CVZ458743 CVZ524279 CVZ589815 CVZ655351 CVZ720887 CVZ786423 CVZ851959 CVZ917495 CVZ983031 DFV2 DFV65527 DFV131063 DFV196599 DFV262135 DFV327671 DFV393207 DFV458743 DFV524279 DFV589815 DFV655351 DFV720887 DFV786423 DFV851959 DFV917495 DFV983031 DPR2 DPR65527 DPR131063 DPR196599 DPR262135 DPR327671 DPR393207 DPR458743 DPR524279 DPR589815 DPR655351 DPR720887 DPR786423 DPR851959 DPR917495 DPR983031 DZN2 DZN65527 DZN131063 DZN196599 DZN262135 DZN327671 DZN393207 DZN458743 DZN524279 DZN589815 DZN655351 DZN720887 DZN786423 DZN851959 DZN917495 DZN983031 EJJ2 EJJ65527 EJJ131063 EJJ196599 EJJ262135 EJJ327671 EJJ393207 EJJ458743 EJJ524279 EJJ589815 EJJ655351 EJJ720887 EJJ786423 EJJ851959 EJJ917495 EJJ983031 ETF2 ETF65527 ETF131063 ETF196599 ETF262135 ETF327671 ETF393207 ETF458743 ETF524279 ETF589815 ETF655351 ETF720887 ETF786423 ETF851959 ETF917495 ETF983031 FDB2 FDB65527 FDB131063 FDB196599 FDB262135 FDB327671 FDB393207 FDB458743 FDB524279 FDB589815 FDB655351 FDB720887 FDB786423 FDB851959 FDB917495 FDB983031 FMX2 FMX65527 FMX131063 FMX196599 FMX262135 FMX327671 FMX393207 FMX458743 FMX524279 FMX589815 FMX655351 FMX720887 FMX786423 FMX851959 FMX917495 FMX983031 FWT2 FWT65527 FWT131063 FWT196599 FWT262135 FWT327671 FWT393207 FWT458743 FWT524279 FWT589815 FWT655351 FWT720887 FWT786423 FWT851959 FWT917495 FWT983031 GGP2 GGP65527 GGP131063 GGP196599 GGP262135 GGP327671 GGP393207 GGP458743 GGP524279 GGP589815 GGP655351 GGP720887 GGP786423 GGP851959 GGP917495 GGP983031 GQL2 GQL65527 GQL131063 GQL196599 GQL262135 GQL327671 GQL393207 GQL458743 GQL524279 GQL589815 GQL655351 GQL720887 GQL786423 GQL851959 GQL917495 GQL983031 HAH2 HAH65527 HAH131063 HAH196599 HAH262135 HAH327671 HAH393207 HAH458743 HAH524279 HAH589815 HAH655351 HAH720887 HAH786423 HAH851959 HAH917495 HAH983031 HKD2 HKD65527 HKD131063 HKD196599 HKD262135 HKD327671 HKD393207 HKD458743 HKD524279 HKD589815 HKD655351 HKD720887 HKD786423 HKD851959 HKD917495 HKD983031 HTZ2 HTZ65527 HTZ131063 HTZ196599 HTZ262135 HTZ327671 HTZ393207 HTZ458743 HTZ524279 HTZ589815 HTZ655351 HTZ720887 HTZ786423 HTZ851959 HTZ917495 HTZ983031 IDV2 IDV65527 IDV131063 IDV196599 IDV262135 IDV327671 IDV393207 IDV458743 IDV524279 IDV589815 IDV655351 IDV720887 IDV786423 IDV851959 IDV917495 IDV983031 INR2 INR65527 INR131063 INR196599 INR262135 INR327671 INR393207 INR458743 INR524279 INR589815 INR655351 INR720887 INR786423 INR851959 INR917495 INR983031 IXN2 IXN65527 IXN131063 IXN196599 IXN262135 IXN327671 IXN393207 IXN458743 IXN524279 IXN589815 IXN655351 IXN720887 IXN786423 IXN851959 IXN917495 IXN983031 JHJ2 JHJ65527 JHJ131063 JHJ196599 JHJ262135 JHJ327671 JHJ393207 JHJ458743 JHJ524279 JHJ589815 JHJ655351 JHJ720887 JHJ786423 JHJ851959 JHJ917495 JHJ983031 JRF2 JRF65527 JRF131063 JRF196599 JRF262135 JRF327671 JRF393207 JRF458743 JRF524279 JRF589815 JRF655351 JRF720887 JRF786423 JRF851959 JRF917495 JRF983031 KBB2 KBB65527 KBB131063 KBB196599 KBB262135 KBB327671 KBB393207 KBB458743 KBB524279 KBB589815 KBB655351 KBB720887 KBB786423 KBB851959 KBB917495 KBB983031 KKX2 KKX65527 KKX131063 KKX196599 KKX262135 KKX327671 KKX393207 KKX458743 KKX524279 KKX589815 KKX655351 KKX720887 KKX786423 KKX851959 KKX917495 KKX983031 KUT2 KUT65527 KUT131063 KUT196599 KUT262135 KUT327671 KUT393207 KUT458743 KUT524279 KUT589815 KUT655351 KUT720887 KUT786423 KUT851959 KUT917495 KUT983031 LEP2 LEP65527 LEP131063 LEP196599 LEP262135 LEP327671 LEP393207 LEP458743 LEP524279 LEP589815 LEP655351 LEP720887 LEP786423 LEP851959 LEP917495 LEP983031 LOL2 LOL65527 LOL131063 LOL196599 LOL262135 LOL327671 LOL393207 LOL458743 LOL524279 LOL589815 LOL655351 LOL720887 LOL786423 LOL851959 LOL917495 LOL983031 LYH2 LYH65527 LYH131063 LYH196599 LYH262135 LYH327671 LYH393207 LYH458743 LYH524279 LYH589815 LYH655351 LYH720887 LYH786423 LYH851959 LYH917495 LYH983031 MID2 MID65527 MID131063 MID196599 MID262135 MID327671 MID393207 MID458743 MID524279 MID589815 MID655351 MID720887 MID786423 MID851959 MID917495 MID983031 MRZ2 MRZ65527 MRZ131063 MRZ196599 MRZ262135 MRZ327671 MRZ393207 MRZ458743 MRZ524279 MRZ589815 MRZ655351 MRZ720887 MRZ786423 MRZ851959 MRZ917495 MRZ983031 NBV2 NBV65527 NBV131063 NBV196599 NBV262135 NBV327671 NBV393207 NBV458743 NBV524279 NBV589815 NBV655351 NBV720887 NBV786423 NBV851959 NBV917495 NBV983031 NLR2 NLR65527 NLR131063 NLR196599 NLR262135 NLR327671 NLR393207 NLR458743 NLR524279 NLR589815 NLR655351 NLR720887 NLR786423 NLR851959 NLR917495 NLR983031 NVN2 NVN65527 NVN131063 NVN196599 NVN262135 NVN327671 NVN393207 NVN458743 NVN524279 NVN589815 NVN655351 NVN720887 NVN786423 NVN851959 NVN917495 NVN983031 OFJ2 OFJ65527 OFJ131063 OFJ196599 OFJ262135 OFJ327671 OFJ393207 OFJ458743 OFJ524279 OFJ589815 OFJ655351 OFJ720887 OFJ786423 OFJ851959 OFJ917495 OFJ983031 OPF2 OPF65527 OPF131063 OPF196599 OPF262135 OPF327671 OPF393207 OPF458743 OPF524279 OPF589815 OPF655351 OPF720887 OPF786423 OPF851959 OPF917495 OPF983031 OZB2 OZB65527 OZB131063 OZB196599 OZB262135 OZB327671 OZB393207 OZB458743 OZB524279 OZB589815 OZB655351 OZB720887 OZB786423 OZB851959 OZB917495 OZB983031 PIX2 PIX65527 PIX131063 PIX196599 PIX262135 PIX327671 PIX393207 PIX458743 PIX524279 PIX589815 PIX655351 PIX720887 PIX786423 PIX851959 PIX917495 PIX983031 PST2 PST65527 PST131063 PST196599 PST262135 PST327671 PST393207 PST458743 PST524279 PST589815 PST655351 PST720887 PST786423 PST851959 PST917495 PST983031 QCP2 QCP65527 QCP131063 QCP196599 QCP262135 QCP327671 QCP393207 QCP458743 QCP524279 QCP589815 QCP655351 QCP720887 QCP786423 QCP851959 QCP917495 QCP983031 QML2 QML65527 QML131063 QML196599 QML262135 QML327671 QML393207 QML458743 QML524279 QML589815 QML655351 QML720887 QML786423 QML851959 QML917495 QML983031 QWH2 QWH65527 QWH131063 QWH196599 QWH262135 QWH327671 QWH393207 QWH458743 QWH524279 QWH589815 QWH655351 QWH720887 QWH786423 QWH851959 QWH917495 QWH983031 RGD2 RGD65527 RGD131063 RGD196599 RGD262135 RGD327671 RGD393207 RGD458743 RGD524279 RGD589815 RGD655351 RGD720887 RGD786423 RGD851959 RGD917495 RGD983031 RPZ2 RPZ65527 RPZ131063 RPZ196599 RPZ262135 RPZ327671 RPZ393207 RPZ458743 RPZ524279 RPZ589815 RPZ655351 RPZ720887 RPZ786423 RPZ851959 RPZ917495 RPZ983031 RZV2 RZV65527 RZV131063 RZV196599 RZV262135 RZV327671 RZV393207 RZV458743 RZV524279 RZV589815 RZV655351 RZV720887 RZV786423 RZV851959 RZV917495 RZV983031 SJR2 SJR65527 SJR131063 SJR196599 SJR262135 SJR327671 SJR393207 SJR458743 SJR524279 SJR589815 SJR655351 SJR720887 SJR786423 SJR851959 SJR917495 SJR983031 STN2 STN65527 STN131063 STN196599 STN262135 STN327671 STN393207 STN458743 STN524279 STN589815 STN655351 STN720887 STN786423 STN851959 STN917495 STN983031 TDJ2 TDJ65527 TDJ131063 TDJ196599 TDJ262135 TDJ327671 TDJ393207 TDJ458743 TDJ524279 TDJ589815 TDJ655351 TDJ720887 TDJ786423 TDJ851959 TDJ917495 TDJ983031 TNF2 TNF65527 TNF131063 TNF196599 TNF262135 TNF327671 TNF393207 TNF458743 TNF524279 TNF589815 TNF655351 TNF720887 TNF786423 TNF851959 TNF917495 TNF983031 TXB2 TXB65527 TXB131063 TXB196599 TXB262135 TXB327671 TXB393207 TXB458743 TXB524279 TXB589815 TXB655351 TXB720887 TXB786423 TXB851959 TXB917495 TXB983031 UGX2 UGX65527 UGX131063 UGX196599 UGX262135 UGX327671 UGX393207 UGX458743 UGX524279 UGX589815 UGX655351 UGX720887 UGX786423 UGX851959 UGX917495 UGX983031 UQT2 UQT65527 UQT131063 UQT196599 UQT262135 UQT327671 UQT393207 UQT458743 UQT524279 UQT589815 UQT655351 UQT720887 UQT786423 UQT851959 UQT917495 UQT983031 VAP2 VAP65527 VAP131063 VAP196599 VAP262135 VAP327671 VAP393207 VAP458743 VAP524279 VAP589815 VAP655351 VAP720887 VAP786423 VAP851959 VAP917495 VAP983031 VKL2 VKL65527 VKL131063 VKL196599 VKL262135 VKL327671 VKL393207 VKL458743 VKL524279 VKL589815 VKL655351 VKL720887 VKL786423 VKL851959 VKL917495 VKL983031 VUH2 VUH65527 VUH131063 VUH196599 VUH262135 VUH327671 VUH393207 VUH458743 VUH524279 VUH589815 VUH655351 VUH720887 VUH786423 VUH851959 VUH917495 VUH983031 WED2 WED65527 WED131063 WED196599 WED262135 WED327671 WED393207 WED458743 WED524279 WED589815 WED655351 WED720887 WED786423 WED851959 WED917495 WED983031 WNZ2 WNZ65527 WNZ131063 WNZ196599 WNZ262135 WNZ327671 WNZ393207 WNZ458743 WNZ524279 WNZ589815 WNZ655351 WNZ720887 WNZ786423 WNZ851959 WNZ917495 WNZ983031" showDropDown="0" showInputMessage="1" showErrorMessage="1" allowBlank="1" type="list">
      <formula1>"2020,2021,2022,2023,2024,2025,2026,2027,2028,2029,2030"</formula1>
    </dataValidation>
    <dataValidation sqref="W5:AC5 AE5" showDropDown="0" showInputMessage="1" showErrorMessage="1" allowBlank="1" errorTitle="Invalid Month" error="Please enter a month such as January, February, etc. or select the month from the drop-down box." type="list">
      <formula1>"იანვარი,თებერვალი,მარტი,აპრილი,მაისი,ივნისი,ივლისი,აგვისტო,სექტემბერი,ოქტომბერი,ნოემბერი,დეკემბერი"</formula1>
    </dataValidation>
  </dataValidations>
  <pageMargins left="0.25" right="0.25" top="0.75" bottom="0.75" header="0.3" footer="0.3"/>
  <pageSetup orientation="landscape" scale="47" fitToHeight="0" fitToWidth="1"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Natia Antidze</dc:creator>
  <dcterms:created xmlns:dcterms="http://purl.org/dc/terms/" xmlns:xsi="http://www.w3.org/2001/XMLSchema-instance" xsi:type="dcterms:W3CDTF">2021-02-15T11:58:58Z</dcterms:created>
  <dcterms:modified xmlns:dcterms="http://purl.org/dc/terms/" xmlns:xsi="http://www.w3.org/2001/XMLSchema-instance" xsi:type="dcterms:W3CDTF">2026-10-27T10:23:10Z</dcterms:modified>
  <cp:lastModifiedBy>Lika Kavtaradze</cp:lastModifiedBy>
  <cp:lastPrinted>2026-10-08T07:54:40Z</cp:lastPrinted>
</cp:coreProperties>
</file>